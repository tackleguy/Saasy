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ssumptions" state="visible" r:id="rId5"/>
    <sheet sheetId="3" name="Stacking plan" state="visible" r:id="rId6"/>
    <sheet sheetId="4" name="Cash flow" state="visible" r:id="rId7"/>
  </sheets>
  <calcPr calcId="171027"/>
</workbook>
</file>

<file path=xl/sharedStrings.xml><?xml version="1.0" encoding="utf-8"?>
<sst xmlns="http://schemas.openxmlformats.org/spreadsheetml/2006/main" count="520" uniqueCount="190">
  <si>
    <t>Capitol Terraces</t>
  </si>
  <si>
    <t>Pro forma · Boise, ID · Concept · generated 23 October 2026</t>
  </si>
  <si>
    <t>Building</t>
  </si>
  <si>
    <t>GDV</t>
  </si>
  <si>
    <t>TDC</t>
  </si>
  <si>
    <t>Profit</t>
  </si>
  <si>
    <t>Profit on cost</t>
  </si>
  <si>
    <t>Margin on GDV</t>
  </si>
  <si>
    <t>Equity required</t>
  </si>
  <si>
    <t>Peak debt</t>
  </si>
  <si>
    <t>Equity IRR</t>
  </si>
  <si>
    <t>Residual land value</t>
  </si>
  <si>
    <t>Units</t>
  </si>
  <si>
    <t>Sq ft</t>
  </si>
  <si>
    <t>Saleable sq ft</t>
  </si>
  <si>
    <t>Site total</t>
  </si>
  <si>
    <t>1 building(s) · 24 floors · 260,000 sf · 87 units. Peak debt, IRR and residual land value are per building (blank IRR: equity flows never turn positive).</t>
  </si>
  <si>
    <t>Prepared with AURA</t>
  </si>
  <si>
    <t>Assumptions · Boise, ID · Concept · generated 23 October 2026</t>
  </si>
  <si>
    <t>Buildable area</t>
  </si>
  <si>
    <t>260,000 sf</t>
  </si>
  <si>
    <t>Podium price</t>
  </si>
  <si>
    <t>$1,050/sf</t>
  </si>
  <si>
    <t>Office price</t>
  </si>
  <si>
    <t>$1,110/sf</t>
  </si>
  <si>
    <t>Residential price</t>
  </si>
  <si>
    <t>$1,240/sf</t>
  </si>
  <si>
    <t>Crown price</t>
  </si>
  <si>
    <t>$1,790/sf</t>
  </si>
  <si>
    <t>Absorption</t>
  </si>
  <si>
    <t>4 units/mo</t>
  </si>
  <si>
    <t>Land</t>
  </si>
  <si>
    <t>$45,500,000.00</t>
  </si>
  <si>
    <t>Hard cost</t>
  </si>
  <si>
    <t>$156,000,000.00 ($600/sf)</t>
  </si>
  <si>
    <t>Soft cost</t>
  </si>
  <si>
    <t>$28,080,000.00 (18%)</t>
  </si>
  <si>
    <t>Contingency</t>
  </si>
  <si>
    <t>$9,204,000.00 (5%)</t>
  </si>
  <si>
    <t>Finance</t>
  </si>
  <si>
    <t>$12,832,267.37 (60% LTC, 8.5%, 30 mo)</t>
  </si>
  <si>
    <t>Sales commission</t>
  </si>
  <si>
    <t>$6,334,001.76 (2%)</t>
  </si>
  <si>
    <t>AURA fee</t>
  </si>
  <si>
    <t>$3,167,000.88 (1%)</t>
  </si>
  <si>
    <t>$316,700,087.80</t>
  </si>
  <si>
    <t>Total development cost</t>
  </si>
  <si>
    <t>$261,117,270.00</t>
  </si>
  <si>
    <t>$55,582,817.79</t>
  </si>
  <si>
    <t>Profit on cost / margin</t>
  </si>
  <si>
    <t>21.3% / 17.6%</t>
  </si>
  <si>
    <t>Equity IRR / multiple</t>
  </si>
  <si>
    <t>23.4% / 1.58×</t>
  </si>
  <si>
    <t>Equity required / peak debt</t>
  </si>
  <si>
    <t>$95,513,600.00 / $156,102,667.37</t>
  </si>
  <si>
    <t>Residual land value (20% on cost)</t>
  </si>
  <si>
    <t>$48,299,469.83</t>
  </si>
  <si>
    <t>Stacking plan (sample availability) · Boise, ID · Concept · generated 23 October 2026</t>
  </si>
  <si>
    <t>Floor</t>
  </si>
  <si>
    <t>Unit</t>
  </si>
  <si>
    <t>Zone</t>
  </si>
  <si>
    <t>Guide price</t>
  </si>
  <si>
    <t>Status</t>
  </si>
  <si>
    <t>F23–F24</t>
  </si>
  <si>
    <t>CAP-PH</t>
  </si>
  <si>
    <t>Crown</t>
  </si>
  <si>
    <t>Available</t>
  </si>
  <si>
    <t>F22</t>
  </si>
  <si>
    <t>CAP-2201</t>
  </si>
  <si>
    <t>Residential</t>
  </si>
  <si>
    <t>CAP-2202</t>
  </si>
  <si>
    <t>CAP-2203</t>
  </si>
  <si>
    <t>CAP-2204</t>
  </si>
  <si>
    <t>F21</t>
  </si>
  <si>
    <t>CAP-2101</t>
  </si>
  <si>
    <t>CAP-2102</t>
  </si>
  <si>
    <t>CAP-2103</t>
  </si>
  <si>
    <t>CAP-2104</t>
  </si>
  <si>
    <t>F20</t>
  </si>
  <si>
    <t>CAP-2001</t>
  </si>
  <si>
    <t>CAP-2002</t>
  </si>
  <si>
    <t>CAP-2003</t>
  </si>
  <si>
    <t>CAP-2004</t>
  </si>
  <si>
    <t>F19</t>
  </si>
  <si>
    <t>CAP-1901</t>
  </si>
  <si>
    <t>CAP-1902</t>
  </si>
  <si>
    <t>CAP-1903</t>
  </si>
  <si>
    <t>CAP-1904</t>
  </si>
  <si>
    <t>F18</t>
  </si>
  <si>
    <t>CAP-1801</t>
  </si>
  <si>
    <t>CAP-1802</t>
  </si>
  <si>
    <t>CAP-1803</t>
  </si>
  <si>
    <t>CAP-1804</t>
  </si>
  <si>
    <t>F17</t>
  </si>
  <si>
    <t>CAP-1701</t>
  </si>
  <si>
    <t>CAP-1702</t>
  </si>
  <si>
    <t>CAP-1703</t>
  </si>
  <si>
    <t>CAP-1704</t>
  </si>
  <si>
    <t>F16</t>
  </si>
  <si>
    <t>CAP-1601</t>
  </si>
  <si>
    <t>CAP-1602</t>
  </si>
  <si>
    <t>CAP-1603</t>
  </si>
  <si>
    <t>CAP-1604</t>
  </si>
  <si>
    <t>F15</t>
  </si>
  <si>
    <t>CAP-1501</t>
  </si>
  <si>
    <t>CAP-1502</t>
  </si>
  <si>
    <t>CAP-1503</t>
  </si>
  <si>
    <t>CAP-1504</t>
  </si>
  <si>
    <t>F14</t>
  </si>
  <si>
    <t>CAP-1401</t>
  </si>
  <si>
    <t>CAP-1402</t>
  </si>
  <si>
    <t>CAP-1403</t>
  </si>
  <si>
    <t>CAP-1404</t>
  </si>
  <si>
    <t>F13</t>
  </si>
  <si>
    <t>CAP-1301</t>
  </si>
  <si>
    <t>CAP-1302</t>
  </si>
  <si>
    <t>CAP-1303</t>
  </si>
  <si>
    <t>CAP-1304</t>
  </si>
  <si>
    <t>F12</t>
  </si>
  <si>
    <t>CAP-1201</t>
  </si>
  <si>
    <t>CAP-1202</t>
  </si>
  <si>
    <t>CAP-1203</t>
  </si>
  <si>
    <t>CAP-1204</t>
  </si>
  <si>
    <t>F11</t>
  </si>
  <si>
    <t>CAP-1101</t>
  </si>
  <si>
    <t>CAP-1102</t>
  </si>
  <si>
    <t>CAP-1103</t>
  </si>
  <si>
    <t>CAP-1104</t>
  </si>
  <si>
    <t>F10</t>
  </si>
  <si>
    <t>CAP-1001</t>
  </si>
  <si>
    <t>CAP-1002</t>
  </si>
  <si>
    <t>CAP-1003</t>
  </si>
  <si>
    <t>CAP-1004</t>
  </si>
  <si>
    <t>F9</t>
  </si>
  <si>
    <t>CAP-0901</t>
  </si>
  <si>
    <t>CAP-0902</t>
  </si>
  <si>
    <t>CAP-0903</t>
  </si>
  <si>
    <t>CAP-0904</t>
  </si>
  <si>
    <t>F8</t>
  </si>
  <si>
    <t>CAP-0801</t>
  </si>
  <si>
    <t>CAP-0802</t>
  </si>
  <si>
    <t>CAP-0803</t>
  </si>
  <si>
    <t>CAP-0804</t>
  </si>
  <si>
    <t>F7</t>
  </si>
  <si>
    <t>CAP-0701</t>
  </si>
  <si>
    <t>CAP-0702</t>
  </si>
  <si>
    <t>CAP-0703</t>
  </si>
  <si>
    <t>CAP-0704</t>
  </si>
  <si>
    <t>F6</t>
  </si>
  <si>
    <t>CAP-0601</t>
  </si>
  <si>
    <t>Office</t>
  </si>
  <si>
    <t>CAP-0602</t>
  </si>
  <si>
    <t>CAP-0603</t>
  </si>
  <si>
    <t>F5</t>
  </si>
  <si>
    <t>CAP-0501</t>
  </si>
  <si>
    <t>CAP-0502</t>
  </si>
  <si>
    <t>CAP-0503</t>
  </si>
  <si>
    <t>F4</t>
  </si>
  <si>
    <t>CAP-0401</t>
  </si>
  <si>
    <t>CAP-0402</t>
  </si>
  <si>
    <t>CAP-0403</t>
  </si>
  <si>
    <t>F3</t>
  </si>
  <si>
    <t>CAP-0301</t>
  </si>
  <si>
    <t>CAP-0302</t>
  </si>
  <si>
    <t>CAP-0303</t>
  </si>
  <si>
    <t>F2</t>
  </si>
  <si>
    <t>CAP-0201</t>
  </si>
  <si>
    <t>Podium</t>
  </si>
  <si>
    <t>CAP-0202</t>
  </si>
  <si>
    <t>CAP-0203</t>
  </si>
  <si>
    <t>CAP-0204</t>
  </si>
  <si>
    <t>CAP-0205</t>
  </si>
  <si>
    <t>F1</t>
  </si>
  <si>
    <t>CAP-0101</t>
  </si>
  <si>
    <t>CAP-0102</t>
  </si>
  <si>
    <t>CAP-0103</t>
  </si>
  <si>
    <t>CAP-0104</t>
  </si>
  <si>
    <t>CAP-0105</t>
  </si>
  <si>
    <t>Total — Capitol Terraces</t>
  </si>
  <si>
    <t>87 units</t>
  </si>
  <si>
    <t>87 avail · 0 res · 0 sold</t>
  </si>
  <si>
    <t>Monthly cash flow · Boise, ID · Concept · generated 23 October 2026</t>
  </si>
  <si>
    <t>Month</t>
  </si>
  <si>
    <t>Spend</t>
  </si>
  <si>
    <t>Net receipts</t>
  </si>
  <si>
    <t>Equity in</t>
  </si>
  <si>
    <t>Equity out</t>
  </si>
  <si>
    <t>Debt balance</t>
  </si>
  <si>
    <t>Equity position</t>
  </si>
  <si>
    <t>Month 0 is land. Receipts are net of commission and the AURA fee; equity position is cumulative distributions less contributions.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</si>
</sst>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;[Red]-&quot;$&quot;#,##0.00"/>
    <numFmt numFmtId="165" formatCode="0.0%"/>
    <numFmt numFmtId="166" formatCode="&quot;$&quot;#,##0;[Red]-&quot;$&quot;#,##0"/>
  </numFmts>
  <fonts count="8" x14ac:knownFonts="1">
    <font>
      <color theme="1"/>
      <family val="2"/>
      <scheme val="minor"/>
      <sz val="11"/>
      <name val="Calibri"/>
    </font>
    <font>
      <b/>
      <sz val="16"/>
      <name val="Inter"/>
    </font>
    <font>
      <color rgb="FF666666"/>
      <sz val="10"/>
      <name val="Inter"/>
    </font>
    <font>
      <b/>
      <sz val="10"/>
      <name val="Inter"/>
    </font>
    <font>
      <sz val="10"/>
      <name val="Inter"/>
    </font>
    <font>
      <color rgb="FF666666"/>
      <sz val="9"/>
      <name val="Inter"/>
    </font>
    <font>
      <b/>
      <color rgb="FF1F6F5C"/>
      <sz val="12"/>
      <name val="Inter"/>
    </font>
    <font>
      <b/>
      <color rgb="FF1F6F5C"/>
      <sz val="10"/>
      <name val="Inte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F6F5C"/>
      </bottom>
      <diagonal/>
    </border>
    <border>
      <left/>
      <right/>
      <top style="thin"/>
      <bottom/>
      <diagonal/>
    </border>
    <border>
      <left/>
      <right/>
      <top/>
      <bottom style="hair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3" fontId="4" fillId="0" borderId="0" xfId="0" applyNumberFormat="1" applyFont="1"/>
    <xf numFmtId="0" fontId="3" fillId="0" borderId="2" xfId="0" applyFont="1" applyBorder="1"/>
    <xf numFmtId="164" fontId="3" fillId="0" borderId="2" xfId="0" applyNumberFormat="1" applyFont="1" applyBorder="1"/>
    <xf numFmtId="165" fontId="3" fillId="0" borderId="2" xfId="0" applyNumberFormat="1" applyFont="1" applyBorder="1"/>
    <xf numFmtId="3" fontId="3" fillId="0" borderId="2" xfId="0" applyNumberFormat="1" applyFont="1" applyBorder="1"/>
    <xf numFmtId="0" fontId="5" fillId="0" borderId="0" xfId="0" applyFont="1"/>
    <xf numFmtId="0" fontId="6" fillId="0" borderId="0" xfId="0" applyFont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166" fontId="4" fillId="0" borderId="0" xfId="0" applyNumberFormat="1" applyFont="1"/>
    <xf numFmtId="166" fontId="3" fillId="0" borderId="2" xfId="0" applyNumberFormat="1" applyFont="1" applyBorder="1"/>
    <xf numFmtId="0" fontId="7" fillId="0" borderId="0" xfId="0" applyFont="1" applyAlignment="1">
      <alignment horizontal="center"/>
    </xf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9" customWidth="1"/>
    <col min="5" max="6" width="11" customWidth="1"/>
    <col min="7" max="8" width="19" customWidth="1"/>
    <col min="9" max="9" width="11" customWidth="1"/>
    <col min="10" max="10" width="19" customWidth="1"/>
    <col min="11" max="13" width="1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3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spans="1:13" x14ac:dyDescent="0.25">
      <c r="A5" s="5" t="s">
        <v>0</v>
      </c>
      <c r="B5" s="6">
        <v>316700087.7963125</v>
      </c>
      <c r="C5" s="6">
        <v>261117270.00233456</v>
      </c>
      <c r="D5" s="6">
        <v>55582817.793977946</v>
      </c>
      <c r="E5" s="7">
        <v>0.21286534511287208</v>
      </c>
      <c r="F5" s="7">
        <v>0.17550616477797243</v>
      </c>
      <c r="G5" s="6">
        <v>95513600</v>
      </c>
      <c r="H5" s="6">
        <v>156102667.36844522</v>
      </c>
      <c r="I5" s="7">
        <v>0.23421364367747485</v>
      </c>
      <c r="J5" s="6">
        <v>48299469.82792586</v>
      </c>
      <c r="K5" s="8">
        <v>87</v>
      </c>
      <c r="L5" s="8">
        <v>260000.0000000001</v>
      </c>
      <c r="M5" s="8">
        <v>260000.0000000001</v>
      </c>
    </row>
    <row r="6" spans="1:13" x14ac:dyDescent="0.25">
      <c r="A6" s="9" t="s">
        <v>15</v>
      </c>
      <c r="B6" s="10">
        <v>316700087.7963125</v>
      </c>
      <c r="C6" s="10">
        <v>261117270.00233456</v>
      </c>
      <c r="D6" s="10">
        <v>55582817.793977946</v>
      </c>
      <c r="E6" s="11">
        <v>0.21286534511287208</v>
      </c>
      <c r="F6" s="11">
        <v>0.17550616477797243</v>
      </c>
      <c r="G6" s="10">
        <v>95513600</v>
      </c>
      <c r="H6" s="10"/>
      <c r="I6" s="11"/>
      <c r="J6" s="10"/>
      <c r="K6" s="12">
        <v>87</v>
      </c>
      <c r="L6" s="12">
        <v>260000.0000000001</v>
      </c>
      <c r="M6" s="12">
        <v>260000.0000000001</v>
      </c>
    </row>
    <row r="8" spans="1:1" x14ac:dyDescent="0.25">
      <c r="A8" s="13" t="s">
        <v>16</v>
      </c>
    </row>
    <row r="9" spans="1:1" x14ac:dyDescent="0.25">
      <c r="A9" s="1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 showGridLines="0"/>
  </sheetViews>
  <sheetFormatPr defaultRowHeight="15" outlineLevelRow="0" outlineLevelCol="0" x14ac:dyDescent="55"/>
  <cols>
    <col min="1" max="1" width="36" customWidth="1"/>
    <col min="2" max="2" width="58" customWidth="1"/>
  </cols>
  <sheetData>
    <row r="1" spans="1:1" x14ac:dyDescent="0.25">
      <c r="A1" s="1" t="s">
        <v>0</v>
      </c>
    </row>
    <row r="2" spans="1:1" x14ac:dyDescent="0.25">
      <c r="A2" s="2" t="s">
        <v>18</v>
      </c>
    </row>
    <row r="4" spans="1:1" x14ac:dyDescent="0.25">
      <c r="A4" s="14" t="s">
        <v>0</v>
      </c>
    </row>
    <row r="5" spans="1:2" x14ac:dyDescent="0.25">
      <c r="A5" s="15" t="s">
        <v>19</v>
      </c>
      <c r="B5" s="16" t="s">
        <v>20</v>
      </c>
    </row>
    <row r="6" spans="1:2" x14ac:dyDescent="0.25">
      <c r="A6" s="15" t="s">
        <v>21</v>
      </c>
      <c r="B6" s="16" t="s">
        <v>22</v>
      </c>
    </row>
    <row r="7" spans="1:2" x14ac:dyDescent="0.25">
      <c r="A7" s="15" t="s">
        <v>23</v>
      </c>
      <c r="B7" s="16" t="s">
        <v>24</v>
      </c>
    </row>
    <row r="8" spans="1:2" x14ac:dyDescent="0.25">
      <c r="A8" s="15" t="s">
        <v>25</v>
      </c>
      <c r="B8" s="16" t="s">
        <v>26</v>
      </c>
    </row>
    <row r="9" spans="1:2" x14ac:dyDescent="0.25">
      <c r="A9" s="15" t="s">
        <v>27</v>
      </c>
      <c r="B9" s="16" t="s">
        <v>28</v>
      </c>
    </row>
    <row r="10" spans="1:2" x14ac:dyDescent="0.25">
      <c r="A10" s="15" t="s">
        <v>29</v>
      </c>
      <c r="B10" s="16" t="s">
        <v>30</v>
      </c>
    </row>
    <row r="11" spans="1:2" x14ac:dyDescent="0.25">
      <c r="A11" s="15" t="s">
        <v>31</v>
      </c>
      <c r="B11" s="16" t="s">
        <v>32</v>
      </c>
    </row>
    <row r="12" spans="1:2" x14ac:dyDescent="0.25">
      <c r="A12" s="15" t="s">
        <v>33</v>
      </c>
      <c r="B12" s="16" t="s">
        <v>34</v>
      </c>
    </row>
    <row r="13" spans="1:2" x14ac:dyDescent="0.25">
      <c r="A13" s="15" t="s">
        <v>35</v>
      </c>
      <c r="B13" s="16" t="s">
        <v>36</v>
      </c>
    </row>
    <row r="14" spans="1:2" x14ac:dyDescent="0.25">
      <c r="A14" s="15" t="s">
        <v>37</v>
      </c>
      <c r="B14" s="16" t="s">
        <v>38</v>
      </c>
    </row>
    <row r="15" spans="1:2" x14ac:dyDescent="0.25">
      <c r="A15" s="15" t="s">
        <v>39</v>
      </c>
      <c r="B15" s="16" t="s">
        <v>40</v>
      </c>
    </row>
    <row r="16" spans="1:2" x14ac:dyDescent="0.25">
      <c r="A16" s="15" t="s">
        <v>41</v>
      </c>
      <c r="B16" s="16" t="s">
        <v>42</v>
      </c>
    </row>
    <row r="17" spans="1:2" x14ac:dyDescent="0.25">
      <c r="A17" s="15" t="s">
        <v>43</v>
      </c>
      <c r="B17" s="16" t="s">
        <v>44</v>
      </c>
    </row>
    <row r="18" spans="1:2" x14ac:dyDescent="0.25">
      <c r="A18" s="15" t="s">
        <v>3</v>
      </c>
      <c r="B18" s="16" t="s">
        <v>45</v>
      </c>
    </row>
    <row r="19" spans="1:2" x14ac:dyDescent="0.25">
      <c r="A19" s="15" t="s">
        <v>46</v>
      </c>
      <c r="B19" s="16" t="s">
        <v>47</v>
      </c>
    </row>
    <row r="20" spans="1:2" x14ac:dyDescent="0.25">
      <c r="A20" s="15" t="s">
        <v>5</v>
      </c>
      <c r="B20" s="16" t="s">
        <v>48</v>
      </c>
    </row>
    <row r="21" spans="1:2" x14ac:dyDescent="0.25">
      <c r="A21" s="15" t="s">
        <v>49</v>
      </c>
      <c r="B21" s="16" t="s">
        <v>50</v>
      </c>
    </row>
    <row r="22" spans="1:2" x14ac:dyDescent="0.25">
      <c r="A22" s="15" t="s">
        <v>51</v>
      </c>
      <c r="B22" s="16" t="s">
        <v>52</v>
      </c>
    </row>
    <row r="23" spans="1:2" x14ac:dyDescent="0.25">
      <c r="A23" s="15" t="s">
        <v>53</v>
      </c>
      <c r="B23" s="16" t="s">
        <v>54</v>
      </c>
    </row>
    <row r="24" spans="1:2" x14ac:dyDescent="0.25">
      <c r="A24" s="15" t="s">
        <v>55</v>
      </c>
      <c r="B24" s="16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1" customWidth="1"/>
    <col min="4" max="4" width="13" customWidth="1"/>
    <col min="5" max="5" width="11" customWidth="1"/>
    <col min="6" max="6" width="18" customWidth="1"/>
    <col min="7" max="7" width="30" customWidth="1"/>
  </cols>
  <sheetData>
    <row r="1" spans="1:1" x14ac:dyDescent="0.25">
      <c r="A1" s="1" t="s">
        <v>0</v>
      </c>
    </row>
    <row r="2" spans="1:1" x14ac:dyDescent="0.25">
      <c r="A2" s="2" t="s">
        <v>57</v>
      </c>
    </row>
    <row r="4" spans="1:7" x14ac:dyDescent="0.25">
      <c r="A4" s="3" t="s">
        <v>2</v>
      </c>
      <c r="B4" s="4" t="s">
        <v>58</v>
      </c>
      <c r="C4" s="4" t="s">
        <v>59</v>
      </c>
      <c r="D4" s="4" t="s">
        <v>60</v>
      </c>
      <c r="E4" s="4" t="s">
        <v>13</v>
      </c>
      <c r="F4" s="4" t="s">
        <v>61</v>
      </c>
      <c r="G4" s="4" t="s">
        <v>62</v>
      </c>
    </row>
    <row r="5" spans="1:7" x14ac:dyDescent="0.25">
      <c r="A5" s="5" t="s">
        <v>0</v>
      </c>
      <c r="B5" s="5" t="s">
        <v>63</v>
      </c>
      <c r="C5" s="5" t="s">
        <v>64</v>
      </c>
      <c r="D5" s="5" t="s">
        <v>65</v>
      </c>
      <c r="E5" s="8">
        <v>12783.143107989465</v>
      </c>
      <c r="F5" s="17">
        <v>22881826.16330114</v>
      </c>
      <c r="G5" s="5" t="s">
        <v>66</v>
      </c>
    </row>
    <row r="6" spans="1:7" x14ac:dyDescent="0.25">
      <c r="A6" s="5" t="s">
        <v>0</v>
      </c>
      <c r="B6" s="5" t="s">
        <v>67</v>
      </c>
      <c r="C6" s="5" t="s">
        <v>68</v>
      </c>
      <c r="D6" s="5" t="s">
        <v>69</v>
      </c>
      <c r="E6" s="8">
        <v>2568.0421422300265</v>
      </c>
      <c r="F6" s="17">
        <v>3184372.2563652326</v>
      </c>
      <c r="G6" s="5" t="s">
        <v>66</v>
      </c>
    </row>
    <row r="7" spans="1:7" x14ac:dyDescent="0.25">
      <c r="A7" s="5" t="s">
        <v>0</v>
      </c>
      <c r="B7" s="5" t="s">
        <v>67</v>
      </c>
      <c r="C7" s="5" t="s">
        <v>70</v>
      </c>
      <c r="D7" s="5" t="s">
        <v>69</v>
      </c>
      <c r="E7" s="8">
        <v>2568.0421422300265</v>
      </c>
      <c r="F7" s="17">
        <v>3184372.2563652326</v>
      </c>
      <c r="G7" s="5" t="s">
        <v>66</v>
      </c>
    </row>
    <row r="8" spans="1:7" x14ac:dyDescent="0.25">
      <c r="A8" s="5" t="s">
        <v>0</v>
      </c>
      <c r="B8" s="5" t="s">
        <v>67</v>
      </c>
      <c r="C8" s="5" t="s">
        <v>71</v>
      </c>
      <c r="D8" s="5" t="s">
        <v>69</v>
      </c>
      <c r="E8" s="8">
        <v>2568.0421422300265</v>
      </c>
      <c r="F8" s="17">
        <v>3184372.2563652326</v>
      </c>
      <c r="G8" s="5" t="s">
        <v>66</v>
      </c>
    </row>
    <row r="9" spans="1:7" x14ac:dyDescent="0.25">
      <c r="A9" s="5" t="s">
        <v>0</v>
      </c>
      <c r="B9" s="5" t="s">
        <v>67</v>
      </c>
      <c r="C9" s="5" t="s">
        <v>72</v>
      </c>
      <c r="D9" s="5" t="s">
        <v>69</v>
      </c>
      <c r="E9" s="8">
        <v>2568.0421422300265</v>
      </c>
      <c r="F9" s="17">
        <v>3184372.2563652326</v>
      </c>
      <c r="G9" s="5" t="s">
        <v>66</v>
      </c>
    </row>
    <row r="10" spans="1:7" x14ac:dyDescent="0.25">
      <c r="A10" s="5" t="s">
        <v>0</v>
      </c>
      <c r="B10" s="5" t="s">
        <v>73</v>
      </c>
      <c r="C10" s="5" t="s">
        <v>74</v>
      </c>
      <c r="D10" s="5" t="s">
        <v>69</v>
      </c>
      <c r="E10" s="8">
        <v>2568.0421422300265</v>
      </c>
      <c r="F10" s="17">
        <v>3184372.2563652326</v>
      </c>
      <c r="G10" s="5" t="s">
        <v>66</v>
      </c>
    </row>
    <row r="11" spans="1:7" x14ac:dyDescent="0.25">
      <c r="A11" s="5" t="s">
        <v>0</v>
      </c>
      <c r="B11" s="5" t="s">
        <v>73</v>
      </c>
      <c r="C11" s="5" t="s">
        <v>75</v>
      </c>
      <c r="D11" s="5" t="s">
        <v>69</v>
      </c>
      <c r="E11" s="8">
        <v>2568.0421422300265</v>
      </c>
      <c r="F11" s="17">
        <v>3184372.2563652326</v>
      </c>
      <c r="G11" s="5" t="s">
        <v>66</v>
      </c>
    </row>
    <row r="12" spans="1:7" x14ac:dyDescent="0.25">
      <c r="A12" s="5" t="s">
        <v>0</v>
      </c>
      <c r="B12" s="5" t="s">
        <v>73</v>
      </c>
      <c r="C12" s="5" t="s">
        <v>76</v>
      </c>
      <c r="D12" s="5" t="s">
        <v>69</v>
      </c>
      <c r="E12" s="8">
        <v>2568.0421422300265</v>
      </c>
      <c r="F12" s="17">
        <v>3184372.2563652326</v>
      </c>
      <c r="G12" s="5" t="s">
        <v>66</v>
      </c>
    </row>
    <row r="13" spans="1:7" x14ac:dyDescent="0.25">
      <c r="A13" s="5" t="s">
        <v>0</v>
      </c>
      <c r="B13" s="5" t="s">
        <v>73</v>
      </c>
      <c r="C13" s="5" t="s">
        <v>77</v>
      </c>
      <c r="D13" s="5" t="s">
        <v>69</v>
      </c>
      <c r="E13" s="8">
        <v>2568.0421422300265</v>
      </c>
      <c r="F13" s="17">
        <v>3184372.2563652326</v>
      </c>
      <c r="G13" s="5" t="s">
        <v>66</v>
      </c>
    </row>
    <row r="14" spans="1:7" x14ac:dyDescent="0.25">
      <c r="A14" s="5" t="s">
        <v>0</v>
      </c>
      <c r="B14" s="5" t="s">
        <v>78</v>
      </c>
      <c r="C14" s="5" t="s">
        <v>79</v>
      </c>
      <c r="D14" s="5" t="s">
        <v>69</v>
      </c>
      <c r="E14" s="8">
        <v>2568.0421422300265</v>
      </c>
      <c r="F14" s="17">
        <v>3184372.2563652326</v>
      </c>
      <c r="G14" s="5" t="s">
        <v>66</v>
      </c>
    </row>
    <row r="15" spans="1:7" x14ac:dyDescent="0.25">
      <c r="A15" s="5" t="s">
        <v>0</v>
      </c>
      <c r="B15" s="5" t="s">
        <v>78</v>
      </c>
      <c r="C15" s="5" t="s">
        <v>80</v>
      </c>
      <c r="D15" s="5" t="s">
        <v>69</v>
      </c>
      <c r="E15" s="8">
        <v>2568.0421422300265</v>
      </c>
      <c r="F15" s="17">
        <v>3184372.2563652326</v>
      </c>
      <c r="G15" s="5" t="s">
        <v>66</v>
      </c>
    </row>
    <row r="16" spans="1:7" x14ac:dyDescent="0.25">
      <c r="A16" s="5" t="s">
        <v>0</v>
      </c>
      <c r="B16" s="5" t="s">
        <v>78</v>
      </c>
      <c r="C16" s="5" t="s">
        <v>81</v>
      </c>
      <c r="D16" s="5" t="s">
        <v>69</v>
      </c>
      <c r="E16" s="8">
        <v>2568.0421422300265</v>
      </c>
      <c r="F16" s="17">
        <v>3184372.2563652326</v>
      </c>
      <c r="G16" s="5" t="s">
        <v>66</v>
      </c>
    </row>
    <row r="17" spans="1:7" x14ac:dyDescent="0.25">
      <c r="A17" s="5" t="s">
        <v>0</v>
      </c>
      <c r="B17" s="5" t="s">
        <v>78</v>
      </c>
      <c r="C17" s="5" t="s">
        <v>82</v>
      </c>
      <c r="D17" s="5" t="s">
        <v>69</v>
      </c>
      <c r="E17" s="8">
        <v>2568.0421422300265</v>
      </c>
      <c r="F17" s="17">
        <v>3184372.2563652326</v>
      </c>
      <c r="G17" s="5" t="s">
        <v>66</v>
      </c>
    </row>
    <row r="18" spans="1:7" x14ac:dyDescent="0.25">
      <c r="A18" s="5" t="s">
        <v>0</v>
      </c>
      <c r="B18" s="5" t="s">
        <v>83</v>
      </c>
      <c r="C18" s="5" t="s">
        <v>84</v>
      </c>
      <c r="D18" s="5" t="s">
        <v>69</v>
      </c>
      <c r="E18" s="8">
        <v>2568.0421422300265</v>
      </c>
      <c r="F18" s="17">
        <v>3184372.2563652326</v>
      </c>
      <c r="G18" s="5" t="s">
        <v>66</v>
      </c>
    </row>
    <row r="19" spans="1:7" x14ac:dyDescent="0.25">
      <c r="A19" s="5" t="s">
        <v>0</v>
      </c>
      <c r="B19" s="5" t="s">
        <v>83</v>
      </c>
      <c r="C19" s="5" t="s">
        <v>85</v>
      </c>
      <c r="D19" s="5" t="s">
        <v>69</v>
      </c>
      <c r="E19" s="8">
        <v>2568.0421422300265</v>
      </c>
      <c r="F19" s="17">
        <v>3184372.2563652326</v>
      </c>
      <c r="G19" s="5" t="s">
        <v>66</v>
      </c>
    </row>
    <row r="20" spans="1:7" x14ac:dyDescent="0.25">
      <c r="A20" s="5" t="s">
        <v>0</v>
      </c>
      <c r="B20" s="5" t="s">
        <v>83</v>
      </c>
      <c r="C20" s="5" t="s">
        <v>86</v>
      </c>
      <c r="D20" s="5" t="s">
        <v>69</v>
      </c>
      <c r="E20" s="8">
        <v>2568.0421422300265</v>
      </c>
      <c r="F20" s="17">
        <v>3184372.2563652326</v>
      </c>
      <c r="G20" s="5" t="s">
        <v>66</v>
      </c>
    </row>
    <row r="21" spans="1:7" x14ac:dyDescent="0.25">
      <c r="A21" s="5" t="s">
        <v>0</v>
      </c>
      <c r="B21" s="5" t="s">
        <v>83</v>
      </c>
      <c r="C21" s="5" t="s">
        <v>87</v>
      </c>
      <c r="D21" s="5" t="s">
        <v>69</v>
      </c>
      <c r="E21" s="8">
        <v>2568.0421422300265</v>
      </c>
      <c r="F21" s="17">
        <v>3184372.2563652326</v>
      </c>
      <c r="G21" s="5" t="s">
        <v>66</v>
      </c>
    </row>
    <row r="22" spans="1:7" x14ac:dyDescent="0.25">
      <c r="A22" s="5" t="s">
        <v>0</v>
      </c>
      <c r="B22" s="5" t="s">
        <v>88</v>
      </c>
      <c r="C22" s="5" t="s">
        <v>89</v>
      </c>
      <c r="D22" s="5" t="s">
        <v>69</v>
      </c>
      <c r="E22" s="8">
        <v>2568.0421422300265</v>
      </c>
      <c r="F22" s="17">
        <v>3184372.2563652326</v>
      </c>
      <c r="G22" s="5" t="s">
        <v>66</v>
      </c>
    </row>
    <row r="23" spans="1:7" x14ac:dyDescent="0.25">
      <c r="A23" s="5" t="s">
        <v>0</v>
      </c>
      <c r="B23" s="5" t="s">
        <v>88</v>
      </c>
      <c r="C23" s="5" t="s">
        <v>90</v>
      </c>
      <c r="D23" s="5" t="s">
        <v>69</v>
      </c>
      <c r="E23" s="8">
        <v>2568.0421422300265</v>
      </c>
      <c r="F23" s="17">
        <v>3184372.2563652326</v>
      </c>
      <c r="G23" s="5" t="s">
        <v>66</v>
      </c>
    </row>
    <row r="24" spans="1:7" x14ac:dyDescent="0.25">
      <c r="A24" s="5" t="s">
        <v>0</v>
      </c>
      <c r="B24" s="5" t="s">
        <v>88</v>
      </c>
      <c r="C24" s="5" t="s">
        <v>91</v>
      </c>
      <c r="D24" s="5" t="s">
        <v>69</v>
      </c>
      <c r="E24" s="8">
        <v>2568.0421422300265</v>
      </c>
      <c r="F24" s="17">
        <v>3184372.2563652326</v>
      </c>
      <c r="G24" s="5" t="s">
        <v>66</v>
      </c>
    </row>
    <row r="25" spans="1:7" x14ac:dyDescent="0.25">
      <c r="A25" s="5" t="s">
        <v>0</v>
      </c>
      <c r="B25" s="5" t="s">
        <v>88</v>
      </c>
      <c r="C25" s="5" t="s">
        <v>92</v>
      </c>
      <c r="D25" s="5" t="s">
        <v>69</v>
      </c>
      <c r="E25" s="8">
        <v>2568.0421422300265</v>
      </c>
      <c r="F25" s="17">
        <v>3184372.2563652326</v>
      </c>
      <c r="G25" s="5" t="s">
        <v>66</v>
      </c>
    </row>
    <row r="26" spans="1:7" x14ac:dyDescent="0.25">
      <c r="A26" s="5" t="s">
        <v>0</v>
      </c>
      <c r="B26" s="5" t="s">
        <v>93</v>
      </c>
      <c r="C26" s="5" t="s">
        <v>94</v>
      </c>
      <c r="D26" s="5" t="s">
        <v>69</v>
      </c>
      <c r="E26" s="8">
        <v>2568.0421422300265</v>
      </c>
      <c r="F26" s="17">
        <v>3184372.2563652326</v>
      </c>
      <c r="G26" s="5" t="s">
        <v>66</v>
      </c>
    </row>
    <row r="27" spans="1:7" x14ac:dyDescent="0.25">
      <c r="A27" s="5" t="s">
        <v>0</v>
      </c>
      <c r="B27" s="5" t="s">
        <v>93</v>
      </c>
      <c r="C27" s="5" t="s">
        <v>95</v>
      </c>
      <c r="D27" s="5" t="s">
        <v>69</v>
      </c>
      <c r="E27" s="8">
        <v>2568.0421422300265</v>
      </c>
      <c r="F27" s="17">
        <v>3184372.2563652326</v>
      </c>
      <c r="G27" s="5" t="s">
        <v>66</v>
      </c>
    </row>
    <row r="28" spans="1:7" x14ac:dyDescent="0.25">
      <c r="A28" s="5" t="s">
        <v>0</v>
      </c>
      <c r="B28" s="5" t="s">
        <v>93</v>
      </c>
      <c r="C28" s="5" t="s">
        <v>96</v>
      </c>
      <c r="D28" s="5" t="s">
        <v>69</v>
      </c>
      <c r="E28" s="8">
        <v>2568.0421422300265</v>
      </c>
      <c r="F28" s="17">
        <v>3184372.2563652326</v>
      </c>
      <c r="G28" s="5" t="s">
        <v>66</v>
      </c>
    </row>
    <row r="29" spans="1:7" x14ac:dyDescent="0.25">
      <c r="A29" s="5" t="s">
        <v>0</v>
      </c>
      <c r="B29" s="5" t="s">
        <v>93</v>
      </c>
      <c r="C29" s="5" t="s">
        <v>97</v>
      </c>
      <c r="D29" s="5" t="s">
        <v>69</v>
      </c>
      <c r="E29" s="8">
        <v>2568.0421422300265</v>
      </c>
      <c r="F29" s="17">
        <v>3184372.2563652326</v>
      </c>
      <c r="G29" s="5" t="s">
        <v>66</v>
      </c>
    </row>
    <row r="30" spans="1:7" x14ac:dyDescent="0.25">
      <c r="A30" s="5" t="s">
        <v>0</v>
      </c>
      <c r="B30" s="5" t="s">
        <v>98</v>
      </c>
      <c r="C30" s="5" t="s">
        <v>99</v>
      </c>
      <c r="D30" s="5" t="s">
        <v>69</v>
      </c>
      <c r="E30" s="8">
        <v>2568.0421422300265</v>
      </c>
      <c r="F30" s="17">
        <v>3184372.2563652326</v>
      </c>
      <c r="G30" s="5" t="s">
        <v>66</v>
      </c>
    </row>
    <row r="31" spans="1:7" x14ac:dyDescent="0.25">
      <c r="A31" s="5" t="s">
        <v>0</v>
      </c>
      <c r="B31" s="5" t="s">
        <v>98</v>
      </c>
      <c r="C31" s="5" t="s">
        <v>100</v>
      </c>
      <c r="D31" s="5" t="s">
        <v>69</v>
      </c>
      <c r="E31" s="8">
        <v>2568.0421422300265</v>
      </c>
      <c r="F31" s="17">
        <v>3184372.2563652326</v>
      </c>
      <c r="G31" s="5" t="s">
        <v>66</v>
      </c>
    </row>
    <row r="32" spans="1:7" x14ac:dyDescent="0.25">
      <c r="A32" s="5" t="s">
        <v>0</v>
      </c>
      <c r="B32" s="5" t="s">
        <v>98</v>
      </c>
      <c r="C32" s="5" t="s">
        <v>101</v>
      </c>
      <c r="D32" s="5" t="s">
        <v>69</v>
      </c>
      <c r="E32" s="8">
        <v>2568.0421422300265</v>
      </c>
      <c r="F32" s="17">
        <v>3184372.2563652326</v>
      </c>
      <c r="G32" s="5" t="s">
        <v>66</v>
      </c>
    </row>
    <row r="33" spans="1:7" x14ac:dyDescent="0.25">
      <c r="A33" s="5" t="s">
        <v>0</v>
      </c>
      <c r="B33" s="5" t="s">
        <v>98</v>
      </c>
      <c r="C33" s="5" t="s">
        <v>102</v>
      </c>
      <c r="D33" s="5" t="s">
        <v>69</v>
      </c>
      <c r="E33" s="8">
        <v>2568.0421422300265</v>
      </c>
      <c r="F33" s="17">
        <v>3184372.2563652326</v>
      </c>
      <c r="G33" s="5" t="s">
        <v>66</v>
      </c>
    </row>
    <row r="34" spans="1:7" x14ac:dyDescent="0.25">
      <c r="A34" s="5" t="s">
        <v>0</v>
      </c>
      <c r="B34" s="5" t="s">
        <v>103</v>
      </c>
      <c r="C34" s="5" t="s">
        <v>104</v>
      </c>
      <c r="D34" s="5" t="s">
        <v>69</v>
      </c>
      <c r="E34" s="8">
        <v>2568.0421422300265</v>
      </c>
      <c r="F34" s="17">
        <v>3184372.2563652326</v>
      </c>
      <c r="G34" s="5" t="s">
        <v>66</v>
      </c>
    </row>
    <row r="35" spans="1:7" x14ac:dyDescent="0.25">
      <c r="A35" s="5" t="s">
        <v>0</v>
      </c>
      <c r="B35" s="5" t="s">
        <v>103</v>
      </c>
      <c r="C35" s="5" t="s">
        <v>105</v>
      </c>
      <c r="D35" s="5" t="s">
        <v>69</v>
      </c>
      <c r="E35" s="8">
        <v>2568.0421422300265</v>
      </c>
      <c r="F35" s="17">
        <v>3184372.2563652326</v>
      </c>
      <c r="G35" s="5" t="s">
        <v>66</v>
      </c>
    </row>
    <row r="36" spans="1:7" x14ac:dyDescent="0.25">
      <c r="A36" s="5" t="s">
        <v>0</v>
      </c>
      <c r="B36" s="5" t="s">
        <v>103</v>
      </c>
      <c r="C36" s="5" t="s">
        <v>106</v>
      </c>
      <c r="D36" s="5" t="s">
        <v>69</v>
      </c>
      <c r="E36" s="8">
        <v>2568.0421422300265</v>
      </c>
      <c r="F36" s="17">
        <v>3184372.2563652326</v>
      </c>
      <c r="G36" s="5" t="s">
        <v>66</v>
      </c>
    </row>
    <row r="37" spans="1:7" x14ac:dyDescent="0.25">
      <c r="A37" s="5" t="s">
        <v>0</v>
      </c>
      <c r="B37" s="5" t="s">
        <v>103</v>
      </c>
      <c r="C37" s="5" t="s">
        <v>107</v>
      </c>
      <c r="D37" s="5" t="s">
        <v>69</v>
      </c>
      <c r="E37" s="8">
        <v>2568.0421422300265</v>
      </c>
      <c r="F37" s="17">
        <v>3184372.2563652326</v>
      </c>
      <c r="G37" s="5" t="s">
        <v>66</v>
      </c>
    </row>
    <row r="38" spans="1:7" x14ac:dyDescent="0.25">
      <c r="A38" s="5" t="s">
        <v>0</v>
      </c>
      <c r="B38" s="5" t="s">
        <v>108</v>
      </c>
      <c r="C38" s="5" t="s">
        <v>109</v>
      </c>
      <c r="D38" s="5" t="s">
        <v>69</v>
      </c>
      <c r="E38" s="8">
        <v>2568.0421422300265</v>
      </c>
      <c r="F38" s="17">
        <v>3184372.2563652326</v>
      </c>
      <c r="G38" s="5" t="s">
        <v>66</v>
      </c>
    </row>
    <row r="39" spans="1:7" x14ac:dyDescent="0.25">
      <c r="A39" s="5" t="s">
        <v>0</v>
      </c>
      <c r="B39" s="5" t="s">
        <v>108</v>
      </c>
      <c r="C39" s="5" t="s">
        <v>110</v>
      </c>
      <c r="D39" s="5" t="s">
        <v>69</v>
      </c>
      <c r="E39" s="8">
        <v>2568.0421422300265</v>
      </c>
      <c r="F39" s="17">
        <v>3184372.2563652326</v>
      </c>
      <c r="G39" s="5" t="s">
        <v>66</v>
      </c>
    </row>
    <row r="40" spans="1:7" x14ac:dyDescent="0.25">
      <c r="A40" s="5" t="s">
        <v>0</v>
      </c>
      <c r="B40" s="5" t="s">
        <v>108</v>
      </c>
      <c r="C40" s="5" t="s">
        <v>111</v>
      </c>
      <c r="D40" s="5" t="s">
        <v>69</v>
      </c>
      <c r="E40" s="8">
        <v>2568.0421422300265</v>
      </c>
      <c r="F40" s="17">
        <v>3184372.2563652326</v>
      </c>
      <c r="G40" s="5" t="s">
        <v>66</v>
      </c>
    </row>
    <row r="41" spans="1:7" x14ac:dyDescent="0.25">
      <c r="A41" s="5" t="s">
        <v>0</v>
      </c>
      <c r="B41" s="5" t="s">
        <v>108</v>
      </c>
      <c r="C41" s="5" t="s">
        <v>112</v>
      </c>
      <c r="D41" s="5" t="s">
        <v>69</v>
      </c>
      <c r="E41" s="8">
        <v>2568.0421422300265</v>
      </c>
      <c r="F41" s="17">
        <v>3184372.2563652326</v>
      </c>
      <c r="G41" s="5" t="s">
        <v>66</v>
      </c>
    </row>
    <row r="42" spans="1:7" x14ac:dyDescent="0.25">
      <c r="A42" s="5" t="s">
        <v>0</v>
      </c>
      <c r="B42" s="5" t="s">
        <v>113</v>
      </c>
      <c r="C42" s="5" t="s">
        <v>114</v>
      </c>
      <c r="D42" s="5" t="s">
        <v>69</v>
      </c>
      <c r="E42" s="8">
        <v>2568.0421422300265</v>
      </c>
      <c r="F42" s="17">
        <v>3184372.2563652326</v>
      </c>
      <c r="G42" s="5" t="s">
        <v>66</v>
      </c>
    </row>
    <row r="43" spans="1:7" x14ac:dyDescent="0.25">
      <c r="A43" s="5" t="s">
        <v>0</v>
      </c>
      <c r="B43" s="5" t="s">
        <v>113</v>
      </c>
      <c r="C43" s="5" t="s">
        <v>115</v>
      </c>
      <c r="D43" s="5" t="s">
        <v>69</v>
      </c>
      <c r="E43" s="8">
        <v>2568.0421422300265</v>
      </c>
      <c r="F43" s="17">
        <v>3184372.2563652326</v>
      </c>
      <c r="G43" s="5" t="s">
        <v>66</v>
      </c>
    </row>
    <row r="44" spans="1:7" x14ac:dyDescent="0.25">
      <c r="A44" s="5" t="s">
        <v>0</v>
      </c>
      <c r="B44" s="5" t="s">
        <v>113</v>
      </c>
      <c r="C44" s="5" t="s">
        <v>116</v>
      </c>
      <c r="D44" s="5" t="s">
        <v>69</v>
      </c>
      <c r="E44" s="8">
        <v>2568.0421422300265</v>
      </c>
      <c r="F44" s="17">
        <v>3184372.2563652326</v>
      </c>
      <c r="G44" s="5" t="s">
        <v>66</v>
      </c>
    </row>
    <row r="45" spans="1:7" x14ac:dyDescent="0.25">
      <c r="A45" s="5" t="s">
        <v>0</v>
      </c>
      <c r="B45" s="5" t="s">
        <v>113</v>
      </c>
      <c r="C45" s="5" t="s">
        <v>117</v>
      </c>
      <c r="D45" s="5" t="s">
        <v>69</v>
      </c>
      <c r="E45" s="8">
        <v>2568.0421422300265</v>
      </c>
      <c r="F45" s="17">
        <v>3184372.2563652326</v>
      </c>
      <c r="G45" s="5" t="s">
        <v>66</v>
      </c>
    </row>
    <row r="46" spans="1:7" x14ac:dyDescent="0.25">
      <c r="A46" s="5" t="s">
        <v>0</v>
      </c>
      <c r="B46" s="5" t="s">
        <v>118</v>
      </c>
      <c r="C46" s="5" t="s">
        <v>119</v>
      </c>
      <c r="D46" s="5" t="s">
        <v>69</v>
      </c>
      <c r="E46" s="8">
        <v>2568.0421422300265</v>
      </c>
      <c r="F46" s="17">
        <v>3184372.2563652326</v>
      </c>
      <c r="G46" s="5" t="s">
        <v>66</v>
      </c>
    </row>
    <row r="47" spans="1:7" x14ac:dyDescent="0.25">
      <c r="A47" s="5" t="s">
        <v>0</v>
      </c>
      <c r="B47" s="5" t="s">
        <v>118</v>
      </c>
      <c r="C47" s="5" t="s">
        <v>120</v>
      </c>
      <c r="D47" s="5" t="s">
        <v>69</v>
      </c>
      <c r="E47" s="8">
        <v>2568.0421422300265</v>
      </c>
      <c r="F47" s="17">
        <v>3184372.2563652326</v>
      </c>
      <c r="G47" s="5" t="s">
        <v>66</v>
      </c>
    </row>
    <row r="48" spans="1:7" x14ac:dyDescent="0.25">
      <c r="A48" s="5" t="s">
        <v>0</v>
      </c>
      <c r="B48" s="5" t="s">
        <v>118</v>
      </c>
      <c r="C48" s="5" t="s">
        <v>121</v>
      </c>
      <c r="D48" s="5" t="s">
        <v>69</v>
      </c>
      <c r="E48" s="8">
        <v>2568.0421422300265</v>
      </c>
      <c r="F48" s="17">
        <v>3184372.2563652326</v>
      </c>
      <c r="G48" s="5" t="s">
        <v>66</v>
      </c>
    </row>
    <row r="49" spans="1:7" x14ac:dyDescent="0.25">
      <c r="A49" s="5" t="s">
        <v>0</v>
      </c>
      <c r="B49" s="5" t="s">
        <v>118</v>
      </c>
      <c r="C49" s="5" t="s">
        <v>122</v>
      </c>
      <c r="D49" s="5" t="s">
        <v>69</v>
      </c>
      <c r="E49" s="8">
        <v>2568.0421422300265</v>
      </c>
      <c r="F49" s="17">
        <v>3184372.2563652326</v>
      </c>
      <c r="G49" s="5" t="s">
        <v>66</v>
      </c>
    </row>
    <row r="50" spans="1:7" x14ac:dyDescent="0.25">
      <c r="A50" s="5" t="s">
        <v>0</v>
      </c>
      <c r="B50" s="5" t="s">
        <v>123</v>
      </c>
      <c r="C50" s="5" t="s">
        <v>124</v>
      </c>
      <c r="D50" s="5" t="s">
        <v>69</v>
      </c>
      <c r="E50" s="8">
        <v>2568.0421422300265</v>
      </c>
      <c r="F50" s="17">
        <v>3184372.2563652326</v>
      </c>
      <c r="G50" s="5" t="s">
        <v>66</v>
      </c>
    </row>
    <row r="51" spans="1:7" x14ac:dyDescent="0.25">
      <c r="A51" s="5" t="s">
        <v>0</v>
      </c>
      <c r="B51" s="5" t="s">
        <v>123</v>
      </c>
      <c r="C51" s="5" t="s">
        <v>125</v>
      </c>
      <c r="D51" s="5" t="s">
        <v>69</v>
      </c>
      <c r="E51" s="8">
        <v>2568.0421422300265</v>
      </c>
      <c r="F51" s="17">
        <v>3184372.2563652326</v>
      </c>
      <c r="G51" s="5" t="s">
        <v>66</v>
      </c>
    </row>
    <row r="52" spans="1:7" x14ac:dyDescent="0.25">
      <c r="A52" s="5" t="s">
        <v>0</v>
      </c>
      <c r="B52" s="5" t="s">
        <v>123</v>
      </c>
      <c r="C52" s="5" t="s">
        <v>126</v>
      </c>
      <c r="D52" s="5" t="s">
        <v>69</v>
      </c>
      <c r="E52" s="8">
        <v>2568.0421422300265</v>
      </c>
      <c r="F52" s="17">
        <v>3184372.2563652326</v>
      </c>
      <c r="G52" s="5" t="s">
        <v>66</v>
      </c>
    </row>
    <row r="53" spans="1:7" x14ac:dyDescent="0.25">
      <c r="A53" s="5" t="s">
        <v>0</v>
      </c>
      <c r="B53" s="5" t="s">
        <v>123</v>
      </c>
      <c r="C53" s="5" t="s">
        <v>127</v>
      </c>
      <c r="D53" s="5" t="s">
        <v>69</v>
      </c>
      <c r="E53" s="8">
        <v>2568.0421422300265</v>
      </c>
      <c r="F53" s="17">
        <v>3184372.2563652326</v>
      </c>
      <c r="G53" s="5" t="s">
        <v>66</v>
      </c>
    </row>
    <row r="54" spans="1:7" x14ac:dyDescent="0.25">
      <c r="A54" s="5" t="s">
        <v>0</v>
      </c>
      <c r="B54" s="5" t="s">
        <v>128</v>
      </c>
      <c r="C54" s="5" t="s">
        <v>129</v>
      </c>
      <c r="D54" s="5" t="s">
        <v>69</v>
      </c>
      <c r="E54" s="8">
        <v>2568.0421422300265</v>
      </c>
      <c r="F54" s="17">
        <v>3184372.2563652326</v>
      </c>
      <c r="G54" s="5" t="s">
        <v>66</v>
      </c>
    </row>
    <row r="55" spans="1:7" x14ac:dyDescent="0.25">
      <c r="A55" s="5" t="s">
        <v>0</v>
      </c>
      <c r="B55" s="5" t="s">
        <v>128</v>
      </c>
      <c r="C55" s="5" t="s">
        <v>130</v>
      </c>
      <c r="D55" s="5" t="s">
        <v>69</v>
      </c>
      <c r="E55" s="8">
        <v>2568.0421422300265</v>
      </c>
      <c r="F55" s="17">
        <v>3184372.2563652326</v>
      </c>
      <c r="G55" s="5" t="s">
        <v>66</v>
      </c>
    </row>
    <row r="56" spans="1:7" x14ac:dyDescent="0.25">
      <c r="A56" s="5" t="s">
        <v>0</v>
      </c>
      <c r="B56" s="5" t="s">
        <v>128</v>
      </c>
      <c r="C56" s="5" t="s">
        <v>131</v>
      </c>
      <c r="D56" s="5" t="s">
        <v>69</v>
      </c>
      <c r="E56" s="8">
        <v>2568.0421422300265</v>
      </c>
      <c r="F56" s="17">
        <v>3184372.2563652326</v>
      </c>
      <c r="G56" s="5" t="s">
        <v>66</v>
      </c>
    </row>
    <row r="57" spans="1:7" x14ac:dyDescent="0.25">
      <c r="A57" s="5" t="s">
        <v>0</v>
      </c>
      <c r="B57" s="5" t="s">
        <v>128</v>
      </c>
      <c r="C57" s="5" t="s">
        <v>132</v>
      </c>
      <c r="D57" s="5" t="s">
        <v>69</v>
      </c>
      <c r="E57" s="8">
        <v>2568.0421422300265</v>
      </c>
      <c r="F57" s="17">
        <v>3184372.2563652326</v>
      </c>
      <c r="G57" s="5" t="s">
        <v>66</v>
      </c>
    </row>
    <row r="58" spans="1:7" x14ac:dyDescent="0.25">
      <c r="A58" s="5" t="s">
        <v>0</v>
      </c>
      <c r="B58" s="5" t="s">
        <v>133</v>
      </c>
      <c r="C58" s="5" t="s">
        <v>134</v>
      </c>
      <c r="D58" s="5" t="s">
        <v>69</v>
      </c>
      <c r="E58" s="8">
        <v>2568.0421422300265</v>
      </c>
      <c r="F58" s="17">
        <v>3184372.2563652326</v>
      </c>
      <c r="G58" s="5" t="s">
        <v>66</v>
      </c>
    </row>
    <row r="59" spans="1:7" x14ac:dyDescent="0.25">
      <c r="A59" s="5" t="s">
        <v>0</v>
      </c>
      <c r="B59" s="5" t="s">
        <v>133</v>
      </c>
      <c r="C59" s="5" t="s">
        <v>135</v>
      </c>
      <c r="D59" s="5" t="s">
        <v>69</v>
      </c>
      <c r="E59" s="8">
        <v>2568.0421422300265</v>
      </c>
      <c r="F59" s="17">
        <v>3184372.2563652326</v>
      </c>
      <c r="G59" s="5" t="s">
        <v>66</v>
      </c>
    </row>
    <row r="60" spans="1:7" x14ac:dyDescent="0.25">
      <c r="A60" s="5" t="s">
        <v>0</v>
      </c>
      <c r="B60" s="5" t="s">
        <v>133</v>
      </c>
      <c r="C60" s="5" t="s">
        <v>136</v>
      </c>
      <c r="D60" s="5" t="s">
        <v>69</v>
      </c>
      <c r="E60" s="8">
        <v>2568.0421422300265</v>
      </c>
      <c r="F60" s="17">
        <v>3184372.2563652326</v>
      </c>
      <c r="G60" s="5" t="s">
        <v>66</v>
      </c>
    </row>
    <row r="61" spans="1:7" x14ac:dyDescent="0.25">
      <c r="A61" s="5" t="s">
        <v>0</v>
      </c>
      <c r="B61" s="5" t="s">
        <v>133</v>
      </c>
      <c r="C61" s="5" t="s">
        <v>137</v>
      </c>
      <c r="D61" s="5" t="s">
        <v>69</v>
      </c>
      <c r="E61" s="8">
        <v>2568.0421422300265</v>
      </c>
      <c r="F61" s="17">
        <v>3184372.2563652326</v>
      </c>
      <c r="G61" s="5" t="s">
        <v>66</v>
      </c>
    </row>
    <row r="62" spans="1:7" x14ac:dyDescent="0.25">
      <c r="A62" s="5" t="s">
        <v>0</v>
      </c>
      <c r="B62" s="5" t="s">
        <v>138</v>
      </c>
      <c r="C62" s="5" t="s">
        <v>139</v>
      </c>
      <c r="D62" s="5" t="s">
        <v>69</v>
      </c>
      <c r="E62" s="8">
        <v>2568.0421422300265</v>
      </c>
      <c r="F62" s="17">
        <v>3184372.2563652326</v>
      </c>
      <c r="G62" s="5" t="s">
        <v>66</v>
      </c>
    </row>
    <row r="63" spans="1:7" x14ac:dyDescent="0.25">
      <c r="A63" s="5" t="s">
        <v>0</v>
      </c>
      <c r="B63" s="5" t="s">
        <v>138</v>
      </c>
      <c r="C63" s="5" t="s">
        <v>140</v>
      </c>
      <c r="D63" s="5" t="s">
        <v>69</v>
      </c>
      <c r="E63" s="8">
        <v>2568.0421422300265</v>
      </c>
      <c r="F63" s="17">
        <v>3184372.2563652326</v>
      </c>
      <c r="G63" s="5" t="s">
        <v>66</v>
      </c>
    </row>
    <row r="64" spans="1:7" x14ac:dyDescent="0.25">
      <c r="A64" s="5" t="s">
        <v>0</v>
      </c>
      <c r="B64" s="5" t="s">
        <v>138</v>
      </c>
      <c r="C64" s="5" t="s">
        <v>141</v>
      </c>
      <c r="D64" s="5" t="s">
        <v>69</v>
      </c>
      <c r="E64" s="8">
        <v>2568.0421422300265</v>
      </c>
      <c r="F64" s="17">
        <v>3184372.2563652326</v>
      </c>
      <c r="G64" s="5" t="s">
        <v>66</v>
      </c>
    </row>
    <row r="65" spans="1:7" x14ac:dyDescent="0.25">
      <c r="A65" s="5" t="s">
        <v>0</v>
      </c>
      <c r="B65" s="5" t="s">
        <v>138</v>
      </c>
      <c r="C65" s="5" t="s">
        <v>142</v>
      </c>
      <c r="D65" s="5" t="s">
        <v>69</v>
      </c>
      <c r="E65" s="8">
        <v>2568.0421422300265</v>
      </c>
      <c r="F65" s="17">
        <v>3184372.2563652326</v>
      </c>
      <c r="G65" s="5" t="s">
        <v>66</v>
      </c>
    </row>
    <row r="66" spans="1:7" x14ac:dyDescent="0.25">
      <c r="A66" s="5" t="s">
        <v>0</v>
      </c>
      <c r="B66" s="5" t="s">
        <v>143</v>
      </c>
      <c r="C66" s="5" t="s">
        <v>144</v>
      </c>
      <c r="D66" s="5" t="s">
        <v>69</v>
      </c>
      <c r="E66" s="8">
        <v>2568.0421422300265</v>
      </c>
      <c r="F66" s="17">
        <v>3184372.2563652326</v>
      </c>
      <c r="G66" s="5" t="s">
        <v>66</v>
      </c>
    </row>
    <row r="67" spans="1:7" x14ac:dyDescent="0.25">
      <c r="A67" s="5" t="s">
        <v>0</v>
      </c>
      <c r="B67" s="5" t="s">
        <v>143</v>
      </c>
      <c r="C67" s="5" t="s">
        <v>145</v>
      </c>
      <c r="D67" s="5" t="s">
        <v>69</v>
      </c>
      <c r="E67" s="8">
        <v>2568.0421422300265</v>
      </c>
      <c r="F67" s="17">
        <v>3184372.2563652326</v>
      </c>
      <c r="G67" s="5" t="s">
        <v>66</v>
      </c>
    </row>
    <row r="68" spans="1:7" x14ac:dyDescent="0.25">
      <c r="A68" s="5" t="s">
        <v>0</v>
      </c>
      <c r="B68" s="5" t="s">
        <v>143</v>
      </c>
      <c r="C68" s="5" t="s">
        <v>146</v>
      </c>
      <c r="D68" s="5" t="s">
        <v>69</v>
      </c>
      <c r="E68" s="8">
        <v>2568.0421422300265</v>
      </c>
      <c r="F68" s="17">
        <v>3184372.2563652326</v>
      </c>
      <c r="G68" s="5" t="s">
        <v>66</v>
      </c>
    </row>
    <row r="69" spans="1:7" x14ac:dyDescent="0.25">
      <c r="A69" s="5" t="s">
        <v>0</v>
      </c>
      <c r="B69" s="5" t="s">
        <v>143</v>
      </c>
      <c r="C69" s="5" t="s">
        <v>147</v>
      </c>
      <c r="D69" s="5" t="s">
        <v>69</v>
      </c>
      <c r="E69" s="8">
        <v>2568.0421422300265</v>
      </c>
      <c r="F69" s="17">
        <v>3184372.2563652326</v>
      </c>
      <c r="G69" s="5" t="s">
        <v>66</v>
      </c>
    </row>
    <row r="70" spans="1:7" x14ac:dyDescent="0.25">
      <c r="A70" s="5" t="s">
        <v>0</v>
      </c>
      <c r="B70" s="5" t="s">
        <v>148</v>
      </c>
      <c r="C70" s="5" t="s">
        <v>149</v>
      </c>
      <c r="D70" s="5" t="s">
        <v>150</v>
      </c>
      <c r="E70" s="8">
        <v>4184.957565115598</v>
      </c>
      <c r="F70" s="17">
        <v>4645302.897278314</v>
      </c>
      <c r="G70" s="5" t="s">
        <v>66</v>
      </c>
    </row>
    <row r="71" spans="1:7" x14ac:dyDescent="0.25">
      <c r="A71" s="5" t="s">
        <v>0</v>
      </c>
      <c r="B71" s="5" t="s">
        <v>148</v>
      </c>
      <c r="C71" s="5" t="s">
        <v>151</v>
      </c>
      <c r="D71" s="5" t="s">
        <v>150</v>
      </c>
      <c r="E71" s="8">
        <v>4184.957565115598</v>
      </c>
      <c r="F71" s="17">
        <v>4645302.897278314</v>
      </c>
      <c r="G71" s="5" t="s">
        <v>66</v>
      </c>
    </row>
    <row r="72" spans="1:7" x14ac:dyDescent="0.25">
      <c r="A72" s="5" t="s">
        <v>0</v>
      </c>
      <c r="B72" s="5" t="s">
        <v>148</v>
      </c>
      <c r="C72" s="5" t="s">
        <v>152</v>
      </c>
      <c r="D72" s="5" t="s">
        <v>150</v>
      </c>
      <c r="E72" s="8">
        <v>4184.957565115598</v>
      </c>
      <c r="F72" s="17">
        <v>4645302.897278314</v>
      </c>
      <c r="G72" s="5" t="s">
        <v>66</v>
      </c>
    </row>
    <row r="73" spans="1:7" x14ac:dyDescent="0.25">
      <c r="A73" s="5" t="s">
        <v>0</v>
      </c>
      <c r="B73" s="5" t="s">
        <v>153</v>
      </c>
      <c r="C73" s="5" t="s">
        <v>154</v>
      </c>
      <c r="D73" s="5" t="s">
        <v>150</v>
      </c>
      <c r="E73" s="8">
        <v>4184.957565115598</v>
      </c>
      <c r="F73" s="17">
        <v>4645302.897278314</v>
      </c>
      <c r="G73" s="5" t="s">
        <v>66</v>
      </c>
    </row>
    <row r="74" spans="1:7" x14ac:dyDescent="0.25">
      <c r="A74" s="5" t="s">
        <v>0</v>
      </c>
      <c r="B74" s="5" t="s">
        <v>153</v>
      </c>
      <c r="C74" s="5" t="s">
        <v>155</v>
      </c>
      <c r="D74" s="5" t="s">
        <v>150</v>
      </c>
      <c r="E74" s="8">
        <v>4184.957565115598</v>
      </c>
      <c r="F74" s="17">
        <v>4645302.897278314</v>
      </c>
      <c r="G74" s="5" t="s">
        <v>66</v>
      </c>
    </row>
    <row r="75" spans="1:7" x14ac:dyDescent="0.25">
      <c r="A75" s="5" t="s">
        <v>0</v>
      </c>
      <c r="B75" s="5" t="s">
        <v>153</v>
      </c>
      <c r="C75" s="5" t="s">
        <v>156</v>
      </c>
      <c r="D75" s="5" t="s">
        <v>150</v>
      </c>
      <c r="E75" s="8">
        <v>4184.957565115598</v>
      </c>
      <c r="F75" s="17">
        <v>4645302.897278314</v>
      </c>
      <c r="G75" s="5" t="s">
        <v>66</v>
      </c>
    </row>
    <row r="76" spans="1:7" x14ac:dyDescent="0.25">
      <c r="A76" s="5" t="s">
        <v>0</v>
      </c>
      <c r="B76" s="5" t="s">
        <v>157</v>
      </c>
      <c r="C76" s="5" t="s">
        <v>158</v>
      </c>
      <c r="D76" s="5" t="s">
        <v>150</v>
      </c>
      <c r="E76" s="8">
        <v>4184.957565115598</v>
      </c>
      <c r="F76" s="17">
        <v>4645302.897278314</v>
      </c>
      <c r="G76" s="5" t="s">
        <v>66</v>
      </c>
    </row>
    <row r="77" spans="1:7" x14ac:dyDescent="0.25">
      <c r="A77" s="5" t="s">
        <v>0</v>
      </c>
      <c r="B77" s="5" t="s">
        <v>157</v>
      </c>
      <c r="C77" s="5" t="s">
        <v>159</v>
      </c>
      <c r="D77" s="5" t="s">
        <v>150</v>
      </c>
      <c r="E77" s="8">
        <v>4184.957565115598</v>
      </c>
      <c r="F77" s="17">
        <v>4645302.897278314</v>
      </c>
      <c r="G77" s="5" t="s">
        <v>66</v>
      </c>
    </row>
    <row r="78" spans="1:7" x14ac:dyDescent="0.25">
      <c r="A78" s="5" t="s">
        <v>0</v>
      </c>
      <c r="B78" s="5" t="s">
        <v>157</v>
      </c>
      <c r="C78" s="5" t="s">
        <v>160</v>
      </c>
      <c r="D78" s="5" t="s">
        <v>150</v>
      </c>
      <c r="E78" s="8">
        <v>4184.957565115598</v>
      </c>
      <c r="F78" s="17">
        <v>4645302.897278314</v>
      </c>
      <c r="G78" s="5" t="s">
        <v>66</v>
      </c>
    </row>
    <row r="79" spans="1:7" x14ac:dyDescent="0.25">
      <c r="A79" s="5" t="s">
        <v>0</v>
      </c>
      <c r="B79" s="5" t="s">
        <v>161</v>
      </c>
      <c r="C79" s="5" t="s">
        <v>162</v>
      </c>
      <c r="D79" s="5" t="s">
        <v>150</v>
      </c>
      <c r="E79" s="8">
        <v>4184.957565115598</v>
      </c>
      <c r="F79" s="17">
        <v>4645302.897278314</v>
      </c>
      <c r="G79" s="5" t="s">
        <v>66</v>
      </c>
    </row>
    <row r="80" spans="1:7" x14ac:dyDescent="0.25">
      <c r="A80" s="5" t="s">
        <v>0</v>
      </c>
      <c r="B80" s="5" t="s">
        <v>161</v>
      </c>
      <c r="C80" s="5" t="s">
        <v>163</v>
      </c>
      <c r="D80" s="5" t="s">
        <v>150</v>
      </c>
      <c r="E80" s="8">
        <v>4184.957565115598</v>
      </c>
      <c r="F80" s="17">
        <v>4645302.897278314</v>
      </c>
      <c r="G80" s="5" t="s">
        <v>66</v>
      </c>
    </row>
    <row r="81" spans="1:7" x14ac:dyDescent="0.25">
      <c r="A81" s="5" t="s">
        <v>0</v>
      </c>
      <c r="B81" s="5" t="s">
        <v>161</v>
      </c>
      <c r="C81" s="5" t="s">
        <v>164</v>
      </c>
      <c r="D81" s="5" t="s">
        <v>150</v>
      </c>
      <c r="E81" s="8">
        <v>4184.957565115598</v>
      </c>
      <c r="F81" s="17">
        <v>4645302.897278314</v>
      </c>
      <c r="G81" s="5" t="s">
        <v>66</v>
      </c>
    </row>
    <row r="82" spans="1:7" x14ac:dyDescent="0.25">
      <c r="A82" s="5" t="s">
        <v>0</v>
      </c>
      <c r="B82" s="5" t="s">
        <v>165</v>
      </c>
      <c r="C82" s="5" t="s">
        <v>166</v>
      </c>
      <c r="D82" s="5" t="s">
        <v>167</v>
      </c>
      <c r="E82" s="8">
        <v>3264.266900790167</v>
      </c>
      <c r="F82" s="17">
        <v>3427480.2458296744</v>
      </c>
      <c r="G82" s="5" t="s">
        <v>66</v>
      </c>
    </row>
    <row r="83" spans="1:7" x14ac:dyDescent="0.25">
      <c r="A83" s="5" t="s">
        <v>0</v>
      </c>
      <c r="B83" s="5" t="s">
        <v>165</v>
      </c>
      <c r="C83" s="5" t="s">
        <v>168</v>
      </c>
      <c r="D83" s="5" t="s">
        <v>167</v>
      </c>
      <c r="E83" s="8">
        <v>3264.266900790167</v>
      </c>
      <c r="F83" s="17">
        <v>3427480.2458296744</v>
      </c>
      <c r="G83" s="5" t="s">
        <v>66</v>
      </c>
    </row>
    <row r="84" spans="1:7" x14ac:dyDescent="0.25">
      <c r="A84" s="5" t="s">
        <v>0</v>
      </c>
      <c r="B84" s="5" t="s">
        <v>165</v>
      </c>
      <c r="C84" s="5" t="s">
        <v>169</v>
      </c>
      <c r="D84" s="5" t="s">
        <v>167</v>
      </c>
      <c r="E84" s="8">
        <v>3264.266900790167</v>
      </c>
      <c r="F84" s="17">
        <v>3427480.2458296744</v>
      </c>
      <c r="G84" s="5" t="s">
        <v>66</v>
      </c>
    </row>
    <row r="85" spans="1:7" x14ac:dyDescent="0.25">
      <c r="A85" s="5" t="s">
        <v>0</v>
      </c>
      <c r="B85" s="5" t="s">
        <v>165</v>
      </c>
      <c r="C85" s="5" t="s">
        <v>170</v>
      </c>
      <c r="D85" s="5" t="s">
        <v>167</v>
      </c>
      <c r="E85" s="8">
        <v>3264.266900790167</v>
      </c>
      <c r="F85" s="17">
        <v>3427480.2458296744</v>
      </c>
      <c r="G85" s="5" t="s">
        <v>66</v>
      </c>
    </row>
    <row r="86" spans="1:7" x14ac:dyDescent="0.25">
      <c r="A86" s="5" t="s">
        <v>0</v>
      </c>
      <c r="B86" s="5" t="s">
        <v>165</v>
      </c>
      <c r="C86" s="5" t="s">
        <v>171</v>
      </c>
      <c r="D86" s="5" t="s">
        <v>167</v>
      </c>
      <c r="E86" s="8">
        <v>3264.266900790167</v>
      </c>
      <c r="F86" s="17">
        <v>3427480.2458296744</v>
      </c>
      <c r="G86" s="5" t="s">
        <v>66</v>
      </c>
    </row>
    <row r="87" spans="1:7" x14ac:dyDescent="0.25">
      <c r="A87" s="5" t="s">
        <v>0</v>
      </c>
      <c r="B87" s="5" t="s">
        <v>172</v>
      </c>
      <c r="C87" s="5" t="s">
        <v>173</v>
      </c>
      <c r="D87" s="5" t="s">
        <v>167</v>
      </c>
      <c r="E87" s="8">
        <v>3264.266900790167</v>
      </c>
      <c r="F87" s="17">
        <v>3427480.2458296744</v>
      </c>
      <c r="G87" s="5" t="s">
        <v>66</v>
      </c>
    </row>
    <row r="88" spans="1:7" x14ac:dyDescent="0.25">
      <c r="A88" s="5" t="s">
        <v>0</v>
      </c>
      <c r="B88" s="5" t="s">
        <v>172</v>
      </c>
      <c r="C88" s="5" t="s">
        <v>174</v>
      </c>
      <c r="D88" s="5" t="s">
        <v>167</v>
      </c>
      <c r="E88" s="8">
        <v>3264.266900790167</v>
      </c>
      <c r="F88" s="17">
        <v>3427480.2458296744</v>
      </c>
      <c r="G88" s="5" t="s">
        <v>66</v>
      </c>
    </row>
    <row r="89" spans="1:7" x14ac:dyDescent="0.25">
      <c r="A89" s="5" t="s">
        <v>0</v>
      </c>
      <c r="B89" s="5" t="s">
        <v>172</v>
      </c>
      <c r="C89" s="5" t="s">
        <v>175</v>
      </c>
      <c r="D89" s="5" t="s">
        <v>167</v>
      </c>
      <c r="E89" s="8">
        <v>3264.266900790167</v>
      </c>
      <c r="F89" s="17">
        <v>3427480.2458296744</v>
      </c>
      <c r="G89" s="5" t="s">
        <v>66</v>
      </c>
    </row>
    <row r="90" spans="1:7" x14ac:dyDescent="0.25">
      <c r="A90" s="5" t="s">
        <v>0</v>
      </c>
      <c r="B90" s="5" t="s">
        <v>172</v>
      </c>
      <c r="C90" s="5" t="s">
        <v>176</v>
      </c>
      <c r="D90" s="5" t="s">
        <v>167</v>
      </c>
      <c r="E90" s="8">
        <v>3264.266900790167</v>
      </c>
      <c r="F90" s="17">
        <v>3427480.2458296744</v>
      </c>
      <c r="G90" s="5" t="s">
        <v>66</v>
      </c>
    </row>
    <row r="91" spans="1:7" x14ac:dyDescent="0.25">
      <c r="A91" s="5" t="s">
        <v>0</v>
      </c>
      <c r="B91" s="5" t="s">
        <v>172</v>
      </c>
      <c r="C91" s="5" t="s">
        <v>177</v>
      </c>
      <c r="D91" s="5" t="s">
        <v>167</v>
      </c>
      <c r="E91" s="8">
        <v>3264.266900790167</v>
      </c>
      <c r="F91" s="17">
        <v>3427480.2458296744</v>
      </c>
      <c r="G91" s="5" t="s">
        <v>66</v>
      </c>
    </row>
    <row r="92" spans="1:7" x14ac:dyDescent="0.25">
      <c r="A92" s="9" t="s">
        <v>178</v>
      </c>
      <c r="B92" s="9"/>
      <c r="C92" s="9" t="s">
        <v>179</v>
      </c>
      <c r="D92" s="9"/>
      <c r="E92" s="12">
        <f>SUM(E5:E91)</f>
        <v>259999.99999999988</v>
      </c>
      <c r="F92" s="18">
        <f>SUM(F5:F91)</f>
        <v>316700087.7963131</v>
      </c>
      <c r="G92" s="9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7" width="16" customWidth="1"/>
  </cols>
  <sheetData>
    <row r="1" spans="1:1" x14ac:dyDescent="0.25">
      <c r="A1" s="1" t="s">
        <v>0</v>
      </c>
    </row>
    <row r="2" spans="1:1" x14ac:dyDescent="0.25">
      <c r="A2" s="2" t="s">
        <v>181</v>
      </c>
    </row>
    <row r="4" spans="1:7" x14ac:dyDescent="0.25">
      <c r="B4" s="19" t="s">
        <v>0</v>
      </c>
      <c r="C4" s="19"/>
      <c r="D4" s="19"/>
      <c r="E4" s="19"/>
      <c r="F4" s="19"/>
      <c r="G4" s="19"/>
    </row>
    <row r="5" spans="1:7" x14ac:dyDescent="0.25">
      <c r="A5" s="3" t="s">
        <v>182</v>
      </c>
      <c r="B5" s="4" t="s">
        <v>183</v>
      </c>
      <c r="C5" s="4" t="s">
        <v>184</v>
      </c>
      <c r="D5" s="4" t="s">
        <v>185</v>
      </c>
      <c r="E5" s="4" t="s">
        <v>186</v>
      </c>
      <c r="F5" s="4" t="s">
        <v>187</v>
      </c>
      <c r="G5" s="4" t="s">
        <v>188</v>
      </c>
    </row>
    <row r="6" spans="1:7" x14ac:dyDescent="0.25">
      <c r="A6" s="20">
        <v>0</v>
      </c>
      <c r="B6" s="17">
        <v>45500000</v>
      </c>
      <c r="C6" s="17">
        <v>0</v>
      </c>
      <c r="D6" s="17">
        <v>45500000</v>
      </c>
      <c r="E6" s="17">
        <v>0</v>
      </c>
      <c r="F6" s="17">
        <v>0</v>
      </c>
      <c r="G6" s="17">
        <v>-45500000</v>
      </c>
    </row>
    <row r="7" spans="1:7" x14ac:dyDescent="0.25">
      <c r="A7" s="20">
        <v>1</v>
      </c>
      <c r="B7" s="17">
        <v>35294.332521288845</v>
      </c>
      <c r="C7" s="17">
        <v>0</v>
      </c>
      <c r="D7" s="17">
        <v>35294.332521288845</v>
      </c>
      <c r="E7" s="17">
        <v>0</v>
      </c>
      <c r="F7" s="17">
        <v>0</v>
      </c>
      <c r="G7" s="17">
        <v>-45535294.33252129</v>
      </c>
    </row>
    <row r="8" spans="1:7" x14ac:dyDescent="0.25">
      <c r="A8" s="20">
        <v>2</v>
      </c>
      <c r="B8" s="17">
        <v>315333.07681358483</v>
      </c>
      <c r="C8" s="17">
        <v>0</v>
      </c>
      <c r="D8" s="17">
        <v>315333.07681358483</v>
      </c>
      <c r="E8" s="17">
        <v>0</v>
      </c>
      <c r="F8" s="17">
        <v>0</v>
      </c>
      <c r="G8" s="17">
        <v>-45850627.409334876</v>
      </c>
    </row>
    <row r="9" spans="1:7" x14ac:dyDescent="0.25">
      <c r="A9" s="20">
        <v>3</v>
      </c>
      <c r="B9" s="17">
        <v>863171.5284976182</v>
      </c>
      <c r="C9" s="17">
        <v>0</v>
      </c>
      <c r="D9" s="17">
        <v>863171.5284976182</v>
      </c>
      <c r="E9" s="17">
        <v>0</v>
      </c>
      <c r="F9" s="17">
        <v>0</v>
      </c>
      <c r="G9" s="17">
        <v>-46713798.9378325</v>
      </c>
    </row>
    <row r="10" spans="1:7" x14ac:dyDescent="0.25">
      <c r="A10" s="20">
        <v>4</v>
      </c>
      <c r="B10" s="17">
        <v>1654866.518414244</v>
      </c>
      <c r="C10" s="17">
        <v>0</v>
      </c>
      <c r="D10" s="17">
        <v>1654866.518414244</v>
      </c>
      <c r="E10" s="17">
        <v>0</v>
      </c>
      <c r="F10" s="17">
        <v>0</v>
      </c>
      <c r="G10" s="17">
        <v>-48368665.45624674</v>
      </c>
    </row>
    <row r="11" spans="1:7" x14ac:dyDescent="0.25">
      <c r="A11" s="20">
        <v>5</v>
      </c>
      <c r="B11" s="17">
        <v>2655817.176530054</v>
      </c>
      <c r="C11" s="17">
        <v>0</v>
      </c>
      <c r="D11" s="17">
        <v>2655817.176530054</v>
      </c>
      <c r="E11" s="17">
        <v>0</v>
      </c>
      <c r="F11" s="17">
        <v>0</v>
      </c>
      <c r="G11" s="17">
        <v>-51024482.6327768</v>
      </c>
    </row>
    <row r="12" spans="1:7" x14ac:dyDescent="0.25">
      <c r="A12" s="20">
        <v>6</v>
      </c>
      <c r="B12" s="17">
        <v>3822277.1559912325</v>
      </c>
      <c r="C12" s="17">
        <v>0</v>
      </c>
      <c r="D12" s="17">
        <v>3822277.1559912325</v>
      </c>
      <c r="E12" s="17">
        <v>0</v>
      </c>
      <c r="F12" s="17">
        <v>0</v>
      </c>
      <c r="G12" s="17">
        <v>-54846759.78876803</v>
      </c>
    </row>
    <row r="13" spans="1:7" x14ac:dyDescent="0.25">
      <c r="A13" s="20">
        <v>7</v>
      </c>
      <c r="B13" s="17">
        <v>5103266.558399341</v>
      </c>
      <c r="C13" s="17">
        <v>0</v>
      </c>
      <c r="D13" s="17">
        <v>5103266.558399341</v>
      </c>
      <c r="E13" s="17">
        <v>0</v>
      </c>
      <c r="F13" s="17">
        <v>0</v>
      </c>
      <c r="G13" s="17">
        <v>-59950026.34716737</v>
      </c>
    </row>
    <row r="14" spans="1:7" x14ac:dyDescent="0.25">
      <c r="A14" s="20">
        <v>8</v>
      </c>
      <c r="B14" s="17">
        <v>6442799.999999997</v>
      </c>
      <c r="C14" s="17">
        <v>0</v>
      </c>
      <c r="D14" s="17">
        <v>6442799.999999997</v>
      </c>
      <c r="E14" s="17">
        <v>0</v>
      </c>
      <c r="F14" s="17">
        <v>0</v>
      </c>
      <c r="G14" s="17">
        <v>-66392826.34716737</v>
      </c>
    </row>
    <row r="15" spans="1:7" x14ac:dyDescent="0.25">
      <c r="A15" s="20">
        <v>9</v>
      </c>
      <c r="B15" s="17">
        <v>7782333.441600659</v>
      </c>
      <c r="C15" s="17">
        <v>0</v>
      </c>
      <c r="D15" s="17">
        <v>7782333.441600659</v>
      </c>
      <c r="E15" s="17">
        <v>0</v>
      </c>
      <c r="F15" s="17">
        <v>0</v>
      </c>
      <c r="G15" s="17">
        <v>-74175159.78876804</v>
      </c>
    </row>
    <row r="16" spans="1:7" x14ac:dyDescent="0.25">
      <c r="A16" s="20">
        <v>10</v>
      </c>
      <c r="B16" s="17">
        <v>9063322.844008764</v>
      </c>
      <c r="C16" s="17">
        <v>0</v>
      </c>
      <c r="D16" s="17">
        <v>9063322.844008764</v>
      </c>
      <c r="E16" s="17">
        <v>0</v>
      </c>
      <c r="F16" s="17">
        <v>0</v>
      </c>
      <c r="G16" s="17">
        <v>-83238482.6327768</v>
      </c>
    </row>
    <row r="17" spans="1:7" x14ac:dyDescent="0.25">
      <c r="A17" s="20">
        <v>11</v>
      </c>
      <c r="B17" s="17">
        <v>10229782.823469942</v>
      </c>
      <c r="C17" s="17">
        <v>0</v>
      </c>
      <c r="D17" s="17">
        <v>10229782.823469942</v>
      </c>
      <c r="E17" s="17">
        <v>0</v>
      </c>
      <c r="F17" s="17">
        <v>0</v>
      </c>
      <c r="G17" s="17">
        <v>-93468265.45624673</v>
      </c>
    </row>
    <row r="18" spans="1:7" x14ac:dyDescent="0.25">
      <c r="A18" s="20">
        <v>12</v>
      </c>
      <c r="B18" s="17">
        <v>11230733.481585754</v>
      </c>
      <c r="C18" s="17">
        <v>0</v>
      </c>
      <c r="D18" s="17">
        <v>2045334.5437532663</v>
      </c>
      <c r="E18" s="17">
        <v>0</v>
      </c>
      <c r="F18" s="17">
        <v>9185398.937832488</v>
      </c>
      <c r="G18" s="17">
        <v>-95513600</v>
      </c>
    </row>
    <row r="19" spans="1:7" x14ac:dyDescent="0.25">
      <c r="A19" s="20">
        <v>13</v>
      </c>
      <c r="B19" s="17">
        <v>12022428.47150238</v>
      </c>
      <c r="C19" s="17">
        <v>0</v>
      </c>
      <c r="D19" s="17">
        <v>0</v>
      </c>
      <c r="E19" s="17">
        <v>0</v>
      </c>
      <c r="F19" s="17">
        <v>21272890.651811182</v>
      </c>
      <c r="G19" s="17">
        <v>-95513600</v>
      </c>
    </row>
    <row r="20" spans="1:7" x14ac:dyDescent="0.25">
      <c r="A20" s="20">
        <v>14</v>
      </c>
      <c r="B20" s="17">
        <v>12570266.923186414</v>
      </c>
      <c r="C20" s="17">
        <v>0</v>
      </c>
      <c r="D20" s="17">
        <v>0</v>
      </c>
      <c r="E20" s="17">
        <v>0</v>
      </c>
      <c r="F20" s="17">
        <v>33993840.550447926</v>
      </c>
      <c r="G20" s="17">
        <v>-95513600</v>
      </c>
    </row>
    <row r="21" spans="1:7" x14ac:dyDescent="0.25">
      <c r="A21" s="20">
        <v>15</v>
      </c>
      <c r="B21" s="17">
        <v>12850305.66747871</v>
      </c>
      <c r="C21" s="17">
        <v>0</v>
      </c>
      <c r="D21" s="17">
        <v>0</v>
      </c>
      <c r="E21" s="17">
        <v>0</v>
      </c>
      <c r="F21" s="17">
        <v>47084935.92182564</v>
      </c>
      <c r="G21" s="17">
        <v>-95513600</v>
      </c>
    </row>
    <row r="22" spans="1:7" x14ac:dyDescent="0.25">
      <c r="A22" s="20">
        <v>16</v>
      </c>
      <c r="B22" s="17">
        <v>12850305.66747871</v>
      </c>
      <c r="C22" s="17">
        <v>0</v>
      </c>
      <c r="D22" s="17">
        <v>0</v>
      </c>
      <c r="E22" s="17">
        <v>0</v>
      </c>
      <c r="F22" s="17">
        <v>60268759.88541728</v>
      </c>
      <c r="G22" s="17">
        <v>-95513600</v>
      </c>
    </row>
    <row r="23" spans="1:7" x14ac:dyDescent="0.25">
      <c r="A23" s="20">
        <v>17</v>
      </c>
      <c r="B23" s="17">
        <v>12570266.923186414</v>
      </c>
      <c r="C23" s="17">
        <v>0</v>
      </c>
      <c r="D23" s="17">
        <v>0</v>
      </c>
      <c r="E23" s="17">
        <v>0</v>
      </c>
      <c r="F23" s="17">
        <v>73265930.52445874</v>
      </c>
      <c r="G23" s="17">
        <v>-95513600</v>
      </c>
    </row>
    <row r="24" spans="1:7" x14ac:dyDescent="0.25">
      <c r="A24" s="20">
        <v>18</v>
      </c>
      <c r="B24" s="17">
        <v>12022428.47150238</v>
      </c>
      <c r="C24" s="17">
        <v>0</v>
      </c>
      <c r="D24" s="17">
        <v>0</v>
      </c>
      <c r="E24" s="17">
        <v>0</v>
      </c>
      <c r="F24" s="17">
        <v>85807326.0038427</v>
      </c>
      <c r="G24" s="17">
        <v>-95513600</v>
      </c>
    </row>
    <row r="25" spans="1:7" x14ac:dyDescent="0.25">
      <c r="A25" s="20">
        <v>19</v>
      </c>
      <c r="B25" s="17">
        <v>11230733.481585754</v>
      </c>
      <c r="C25" s="17">
        <v>0</v>
      </c>
      <c r="D25" s="17">
        <v>0</v>
      </c>
      <c r="E25" s="17">
        <v>0</v>
      </c>
      <c r="F25" s="17">
        <v>97645861.37795568</v>
      </c>
      <c r="G25" s="17">
        <v>-95513600</v>
      </c>
    </row>
    <row r="26" spans="1:7" x14ac:dyDescent="0.25">
      <c r="A26" s="20">
        <v>20</v>
      </c>
      <c r="B26" s="17">
        <v>10229782.823469946</v>
      </c>
      <c r="C26" s="17">
        <v>0</v>
      </c>
      <c r="D26" s="17">
        <v>0</v>
      </c>
      <c r="E26" s="17">
        <v>0</v>
      </c>
      <c r="F26" s="17">
        <v>108567302.38618615</v>
      </c>
      <c r="G26" s="17">
        <v>-95513600</v>
      </c>
    </row>
    <row r="27" spans="1:7" x14ac:dyDescent="0.25">
      <c r="A27" s="20">
        <v>21</v>
      </c>
      <c r="B27" s="17">
        <v>9063322.84400877</v>
      </c>
      <c r="C27" s="17">
        <v>0</v>
      </c>
      <c r="D27" s="17">
        <v>0</v>
      </c>
      <c r="E27" s="17">
        <v>0</v>
      </c>
      <c r="F27" s="17">
        <v>118399643.62209707</v>
      </c>
      <c r="G27" s="17">
        <v>-95513600</v>
      </c>
    </row>
    <row r="28" spans="1:7" x14ac:dyDescent="0.25">
      <c r="A28" s="20">
        <v>22</v>
      </c>
      <c r="B28" s="17">
        <v>7782333.441600662</v>
      </c>
      <c r="C28" s="17">
        <v>0</v>
      </c>
      <c r="D28" s="17">
        <v>0</v>
      </c>
      <c r="E28" s="17">
        <v>0</v>
      </c>
      <c r="F28" s="17">
        <v>127020641.20602092</v>
      </c>
      <c r="G28" s="17">
        <v>-95513600</v>
      </c>
    </row>
    <row r="29" spans="1:7" x14ac:dyDescent="0.25">
      <c r="A29" s="20">
        <v>23</v>
      </c>
      <c r="B29" s="17">
        <v>6442800.000000001</v>
      </c>
      <c r="C29" s="17">
        <v>0</v>
      </c>
      <c r="D29" s="17">
        <v>0</v>
      </c>
      <c r="E29" s="17">
        <v>0</v>
      </c>
      <c r="F29" s="17">
        <v>134363170.7478969</v>
      </c>
      <c r="G29" s="17">
        <v>-95513600</v>
      </c>
    </row>
    <row r="30" spans="1:7" x14ac:dyDescent="0.25">
      <c r="A30" s="20">
        <v>24</v>
      </c>
      <c r="B30" s="17">
        <v>5103266.558399339</v>
      </c>
      <c r="C30" s="17">
        <v>0</v>
      </c>
      <c r="D30" s="17">
        <v>0</v>
      </c>
      <c r="E30" s="17">
        <v>0</v>
      </c>
      <c r="F30" s="17">
        <v>140418176.4324272</v>
      </c>
      <c r="G30" s="17">
        <v>-95513600</v>
      </c>
    </row>
    <row r="31" spans="1:7" x14ac:dyDescent="0.25">
      <c r="A31" s="20">
        <v>25</v>
      </c>
      <c r="B31" s="17">
        <v>3822277.155991237</v>
      </c>
      <c r="C31" s="17">
        <v>0</v>
      </c>
      <c r="D31" s="17">
        <v>0</v>
      </c>
      <c r="E31" s="17">
        <v>0</v>
      </c>
      <c r="F31" s="17">
        <v>145235082.33814812</v>
      </c>
      <c r="G31" s="17">
        <v>-95513600</v>
      </c>
    </row>
    <row r="32" spans="1:7" x14ac:dyDescent="0.25">
      <c r="A32" s="20">
        <v>26</v>
      </c>
      <c r="B32" s="17">
        <v>2655817.1765300552</v>
      </c>
      <c r="C32" s="17">
        <v>0</v>
      </c>
      <c r="D32" s="17">
        <v>0</v>
      </c>
      <c r="E32" s="17">
        <v>0</v>
      </c>
      <c r="F32" s="17">
        <v>148919648.0145734</v>
      </c>
      <c r="G32" s="17">
        <v>-95513600</v>
      </c>
    </row>
    <row r="33" spans="1:7" x14ac:dyDescent="0.25">
      <c r="A33" s="20">
        <v>27</v>
      </c>
      <c r="B33" s="17">
        <v>1654866.518414244</v>
      </c>
      <c r="C33" s="17">
        <v>0</v>
      </c>
      <c r="D33" s="17">
        <v>0</v>
      </c>
      <c r="E33" s="17">
        <v>0</v>
      </c>
      <c r="F33" s="17">
        <v>151629362.03975755</v>
      </c>
      <c r="G33" s="17">
        <v>-95513600</v>
      </c>
    </row>
    <row r="34" spans="1:7" x14ac:dyDescent="0.25">
      <c r="A34" s="20">
        <v>28</v>
      </c>
      <c r="B34" s="17">
        <v>863171.5284976175</v>
      </c>
      <c r="C34" s="17">
        <v>0</v>
      </c>
      <c r="D34" s="17">
        <v>0</v>
      </c>
      <c r="E34" s="17">
        <v>0</v>
      </c>
      <c r="F34" s="17">
        <v>153566574.88270345</v>
      </c>
      <c r="G34" s="17">
        <v>-95513600</v>
      </c>
    </row>
    <row r="35" spans="1:7" x14ac:dyDescent="0.25">
      <c r="A35" s="20">
        <v>29</v>
      </c>
      <c r="B35" s="17">
        <v>315333.07681358483</v>
      </c>
      <c r="C35" s="17">
        <v>0</v>
      </c>
      <c r="D35" s="17">
        <v>0</v>
      </c>
      <c r="E35" s="17">
        <v>0</v>
      </c>
      <c r="F35" s="17">
        <v>154969671.19826952</v>
      </c>
      <c r="G35" s="17">
        <v>-95513600</v>
      </c>
    </row>
    <row r="36" spans="1:7" x14ac:dyDescent="0.25">
      <c r="A36" s="20">
        <v>30</v>
      </c>
      <c r="B36" s="17">
        <v>35294.332521288845</v>
      </c>
      <c r="C36" s="17">
        <v>268357821.5211972</v>
      </c>
      <c r="D36" s="17">
        <v>0</v>
      </c>
      <c r="E36" s="17">
        <v>112255154.15275198</v>
      </c>
      <c r="F36" s="17">
        <v>0</v>
      </c>
      <c r="G36" s="17">
        <v>16741554.152751982</v>
      </c>
    </row>
    <row r="37" spans="1:7" x14ac:dyDescent="0.25">
      <c r="A37" s="20">
        <v>31</v>
      </c>
      <c r="B37" s="17">
        <v>0</v>
      </c>
      <c r="C37" s="17">
        <v>14124095.869536696</v>
      </c>
      <c r="D37" s="17">
        <v>0</v>
      </c>
      <c r="E37" s="17">
        <v>14124095.869536696</v>
      </c>
      <c r="F37" s="17">
        <v>0</v>
      </c>
      <c r="G37" s="17">
        <v>30865650.02228868</v>
      </c>
    </row>
    <row r="38" spans="1:7" x14ac:dyDescent="0.25">
      <c r="A38" s="20">
        <v>32</v>
      </c>
      <c r="B38" s="17">
        <v>0</v>
      </c>
      <c r="C38" s="17">
        <v>14124095.869536696</v>
      </c>
      <c r="D38" s="17">
        <v>0</v>
      </c>
      <c r="E38" s="17">
        <v>14124095.869536696</v>
      </c>
      <c r="F38" s="17">
        <v>0</v>
      </c>
      <c r="G38" s="17">
        <v>44989745.89182538</v>
      </c>
    </row>
    <row r="39" spans="1:7" x14ac:dyDescent="0.25">
      <c r="A39" s="20">
        <v>33</v>
      </c>
      <c r="B39" s="17">
        <v>0</v>
      </c>
      <c r="C39" s="17">
        <v>10593071.902152522</v>
      </c>
      <c r="D39" s="17">
        <v>0</v>
      </c>
      <c r="E39" s="17">
        <v>10593071.902152522</v>
      </c>
      <c r="F39" s="17">
        <v>0</v>
      </c>
      <c r="G39" s="17">
        <v>55582817.7939779</v>
      </c>
    </row>
    <row r="40" spans="1:7" x14ac:dyDescent="0.25">
      <c r="A40" s="20">
        <v>34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55582817.7939779</v>
      </c>
    </row>
    <row r="41" spans="1:7" x14ac:dyDescent="0.25">
      <c r="A41" s="20">
        <v>35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17">
        <v>55582817.7939779</v>
      </c>
    </row>
    <row r="43" spans="1:1" x14ac:dyDescent="0.25">
      <c r="A43" s="13" t="s">
        <v>189</v>
      </c>
    </row>
  </sheetData>
  <mergeCells count="1">
    <mergeCell ref="B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Assumptions</vt:lpstr>
      <vt:lpstr>Stacking plan</vt:lpstr>
      <vt:lpstr>Cash 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Crest Living</dc:creator>
  <dc:title>Capitol Terraces — pro forma</dc:title>
  <dc:subject/>
  <dc:description/>
  <cp:keywords/>
  <cp:category/>
  <cp:lastModifiedBy>Unknown</cp:lastModifiedBy>
  <dcterms:created xsi:type="dcterms:W3CDTF">2026-10-23T08:48:10Z</dcterms:created>
  <dcterms:modified xsi:type="dcterms:W3CDTF">2026-10-23T08:48:10Z</dcterms:modified>
</cp:coreProperties>
</file>