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umptions" state="visible" r:id="rId5"/>
    <sheet sheetId="3" name="Stacking plan" state="visible" r:id="rId6"/>
    <sheet sheetId="4" name="Cash flow" state="visible" r:id="rId7"/>
  </sheets>
  <calcPr calcId="171027"/>
</workbook>
</file>

<file path=xl/sharedStrings.xml><?xml version="1.0" encoding="utf-8"?>
<sst xmlns="http://schemas.openxmlformats.org/spreadsheetml/2006/main" count="2912" uniqueCount="780">
  <si>
    <t>The Meridian Tower</t>
  </si>
  <si>
    <t>Pro forma · Jersey City, NJ · Selling · generated 23 October 2026</t>
  </si>
  <si>
    <t>Illustrative figures only — sample project. Not investment, valuation or financial advice.</t>
  </si>
  <si>
    <t>Building</t>
  </si>
  <si>
    <t>GDV</t>
  </si>
  <si>
    <t>TDC</t>
  </si>
  <si>
    <t>Profit</t>
  </si>
  <si>
    <t>Profit on cost</t>
  </si>
  <si>
    <t>Margin on GDV</t>
  </si>
  <si>
    <t>Equity required</t>
  </si>
  <si>
    <t>Peak debt</t>
  </si>
  <si>
    <t>Equity IRR</t>
  </si>
  <si>
    <t>Residual land value</t>
  </si>
  <si>
    <t>Units</t>
  </si>
  <si>
    <t>Sq ft</t>
  </si>
  <si>
    <t>Saleable sq ft</t>
  </si>
  <si>
    <t>The Meridian</t>
  </si>
  <si>
    <t>Meridian Spire</t>
  </si>
  <si>
    <t>Meridian Lofts</t>
  </si>
  <si>
    <t>Meridian Pinnacle</t>
  </si>
  <si>
    <t>Site total</t>
  </si>
  <si>
    <t>4 building(s) · 160 floors · 1,573,000 sf · 533 units. Peak debt, IRR and residual land value are per building (blank IRR: equity flows never turn positive).</t>
  </si>
  <si>
    <t>Prepared with AURA · illustrative figures only</t>
  </si>
  <si>
    <t>Assumptions · Jersey City, NJ · Selling · generated 23 October 2026</t>
  </si>
  <si>
    <t>Buildable area</t>
  </si>
  <si>
    <t>120,000 sf</t>
  </si>
  <si>
    <t>Podium price</t>
  </si>
  <si>
    <t>$1,220/sf</t>
  </si>
  <si>
    <t>Office price</t>
  </si>
  <si>
    <t>$1,290/sf</t>
  </si>
  <si>
    <t>Residential price</t>
  </si>
  <si>
    <t>$1,430/sf</t>
  </si>
  <si>
    <t>Crown price</t>
  </si>
  <si>
    <t>$2,080/sf</t>
  </si>
  <si>
    <t>Absorption</t>
  </si>
  <si>
    <t>4 units/mo</t>
  </si>
  <si>
    <t>Land</t>
  </si>
  <si>
    <t>$24,400,000.00</t>
  </si>
  <si>
    <t>Hard cost</t>
  </si>
  <si>
    <t>$78,000,000.00 ($650/sf)</t>
  </si>
  <si>
    <t>Soft cost</t>
  </si>
  <si>
    <t>$14,040,000.00 (18%)</t>
  </si>
  <si>
    <t>Contingency</t>
  </si>
  <si>
    <t>$4,602,000.00 (5%)</t>
  </si>
  <si>
    <t>Finance</t>
  </si>
  <si>
    <t>$6,550,253.36 (60% LTC, 8.5%, 30 mo)</t>
  </si>
  <si>
    <t>Sales commission</t>
  </si>
  <si>
    <t>$3,344,301.86 (2%)</t>
  </si>
  <si>
    <t>AURA fee</t>
  </si>
  <si>
    <t>$1,672,150.93 (1%)</t>
  </si>
  <si>
    <t>$167,215,093.18</t>
  </si>
  <si>
    <t>Total development cost</t>
  </si>
  <si>
    <t>$132,608,706.16</t>
  </si>
  <si>
    <t>$34,606,387.02</t>
  </si>
  <si>
    <t>Profit on cost / margin</t>
  </si>
  <si>
    <t>26.1% / 20.7%</t>
  </si>
  <si>
    <t>Equity IRR / multiple</t>
  </si>
  <si>
    <t>28.3% / 1.71×</t>
  </si>
  <si>
    <t>Equity required / peak debt</t>
  </si>
  <si>
    <t>$48,416,800.00 / $79,175,453.36</t>
  </si>
  <si>
    <t>Residual land value (20% on cost)</t>
  </si>
  <si>
    <t>$31,137,204.82</t>
  </si>
  <si>
    <t>185,000 sf</t>
  </si>
  <si>
    <t>$1,070/sf</t>
  </si>
  <si>
    <t>$1,150/sf</t>
  </si>
  <si>
    <t>$1,660/sf</t>
  </si>
  <si>
    <t>$3,220/sf</t>
  </si>
  <si>
    <t>$42,700,000.00</t>
  </si>
  <si>
    <t>$133,200,000.00 ($720/sf)</t>
  </si>
  <si>
    <t>$23,976,000.00 (18%)</t>
  </si>
  <si>
    <t>$7,858,800.00 (5%)</t>
  </si>
  <si>
    <t>$11,274,261.05 (60% LTC, 8.5%, 30 mo)</t>
  </si>
  <si>
    <t>$5,580,990.78 (2%)</t>
  </si>
  <si>
    <t>$2,790,495.39 (1%)</t>
  </si>
  <si>
    <t>$279,049,539.24</t>
  </si>
  <si>
    <t>$227,380,547.23</t>
  </si>
  <si>
    <t>$51,668,992.01</t>
  </si>
  <si>
    <t>22.7% / 18.5%</t>
  </si>
  <si>
    <t>24.0% / 1.62×</t>
  </si>
  <si>
    <t>$83,093,920.00 / $135,915,141.05</t>
  </si>
  <si>
    <t>$47,860,735.47</t>
  </si>
  <si>
    <t>68,000 sf</t>
  </si>
  <si>
    <t>$970/sf</t>
  </si>
  <si>
    <t>$1,020/sf</t>
  </si>
  <si>
    <t>$1,140/sf</t>
  </si>
  <si>
    <t>$1,650/sf</t>
  </si>
  <si>
    <t>$10,900,000.00</t>
  </si>
  <si>
    <t>$38,080,000.00 ($560/sf)</t>
  </si>
  <si>
    <t>$6,854,400.00 (18%)</t>
  </si>
  <si>
    <t>$2,246,720.00 (5%)</t>
  </si>
  <si>
    <t>$3,115,590.54 (60% LTC, 8.5%, 30 mo)</t>
  </si>
  <si>
    <t>$1,523,788.79 (2%)</t>
  </si>
  <si>
    <t>$761,894.40 (1%)</t>
  </si>
  <si>
    <t>$76,189,439.68</t>
  </si>
  <si>
    <t>$63,482,393.73</t>
  </si>
  <si>
    <t>$12,707,045.95</t>
  </si>
  <si>
    <t>20.0% / 16.7%</t>
  </si>
  <si>
    <t>22.7% / 1.55×</t>
  </si>
  <si>
    <t>$23,232,448.00 / $37,964,262.54</t>
  </si>
  <si>
    <t>$10,908,806.00</t>
  </si>
  <si>
    <t>1,200,000 sf</t>
  </si>
  <si>
    <t>$1,300/sf</t>
  </si>
  <si>
    <t>$1,390/sf</t>
  </si>
  <si>
    <t>$2,010/sf</t>
  </si>
  <si>
    <t>$3,900/sf</t>
  </si>
  <si>
    <t>14 units/mo</t>
  </si>
  <si>
    <t>$336,000,000.00</t>
  </si>
  <si>
    <t>$953,694,037.28 ($780/sf)</t>
  </si>
  <si>
    <t>$190,738,807.46 (20%)</t>
  </si>
  <si>
    <t>$57,221,642.24 (5%)</t>
  </si>
  <si>
    <t>$160,799,139.62 (60% LTC, 8.5%, 54 mo)</t>
  </si>
  <si>
    <t>$38,795,894.54 (2%)</t>
  </si>
  <si>
    <t>$19,397,947.27 (1%)</t>
  </si>
  <si>
    <t>$1,939,794,726.90</t>
  </si>
  <si>
    <t>$1,756,647,468.40</t>
  </si>
  <si>
    <t>$183,147,258.50</t>
  </si>
  <si>
    <t>10.4% / 9.4%</t>
  </si>
  <si>
    <t>6.8% / 1.30×</t>
  </si>
  <si>
    <t>$615,061,794.79 / $1,083,391,831.80</t>
  </si>
  <si>
    <t>$195,848,137.35</t>
  </si>
  <si>
    <t>Stacking plan (sample availability) · Jersey City, NJ · Selling · generated 23 October 2026</t>
  </si>
  <si>
    <t>Floor</t>
  </si>
  <si>
    <t>Unit</t>
  </si>
  <si>
    <t>Zone</t>
  </si>
  <si>
    <t>Guide price</t>
  </si>
  <si>
    <t>Status</t>
  </si>
  <si>
    <t>F19–F20</t>
  </si>
  <si>
    <t>MER-PH</t>
  </si>
  <si>
    <t>Crown</t>
  </si>
  <si>
    <t>Sold</t>
  </si>
  <si>
    <t>F18</t>
  </si>
  <si>
    <t>MER-1801</t>
  </si>
  <si>
    <t>Residential</t>
  </si>
  <si>
    <t>MER-1802</t>
  </si>
  <si>
    <t>Reserved</t>
  </si>
  <si>
    <t>MER-1803</t>
  </si>
  <si>
    <t>Available</t>
  </si>
  <si>
    <t>MER-1804</t>
  </si>
  <si>
    <t>F17</t>
  </si>
  <si>
    <t>MER-1701</t>
  </si>
  <si>
    <t>MER-1702</t>
  </si>
  <si>
    <t>MER-1703</t>
  </si>
  <si>
    <t>MER-1704</t>
  </si>
  <si>
    <t>F16</t>
  </si>
  <si>
    <t>MER-1601</t>
  </si>
  <si>
    <t>MER-1602</t>
  </si>
  <si>
    <t>MER-1603</t>
  </si>
  <si>
    <t>MER-1604</t>
  </si>
  <si>
    <t>F15</t>
  </si>
  <si>
    <t>MER-1501</t>
  </si>
  <si>
    <t>MER-1502</t>
  </si>
  <si>
    <t>MER-1503</t>
  </si>
  <si>
    <t>MER-1504</t>
  </si>
  <si>
    <t>F14</t>
  </si>
  <si>
    <t>MER-1401</t>
  </si>
  <si>
    <t>MER-1402</t>
  </si>
  <si>
    <t>MER-1403</t>
  </si>
  <si>
    <t>MER-1404</t>
  </si>
  <si>
    <t>F13</t>
  </si>
  <si>
    <t>MER-1301</t>
  </si>
  <si>
    <t>MER-1302</t>
  </si>
  <si>
    <t>MER-1303</t>
  </si>
  <si>
    <t>MER-1304</t>
  </si>
  <si>
    <t>F12</t>
  </si>
  <si>
    <t>MER-1201</t>
  </si>
  <si>
    <t>MER-1202</t>
  </si>
  <si>
    <t>MER-1203</t>
  </si>
  <si>
    <t>MER-1204</t>
  </si>
  <si>
    <t>F11</t>
  </si>
  <si>
    <t>MER-1101</t>
  </si>
  <si>
    <t>MER-1102</t>
  </si>
  <si>
    <t>MER-1103</t>
  </si>
  <si>
    <t>MER-1104</t>
  </si>
  <si>
    <t>F10</t>
  </si>
  <si>
    <t>MER-1001</t>
  </si>
  <si>
    <t>MER-1002</t>
  </si>
  <si>
    <t>MER-1003</t>
  </si>
  <si>
    <t>MER-1004</t>
  </si>
  <si>
    <t>F9</t>
  </si>
  <si>
    <t>MER-0901</t>
  </si>
  <si>
    <t>MER-0902</t>
  </si>
  <si>
    <t>MER-0903</t>
  </si>
  <si>
    <t>MER-0904</t>
  </si>
  <si>
    <t>F8</t>
  </si>
  <si>
    <t>MER-0801</t>
  </si>
  <si>
    <t>MER-0802</t>
  </si>
  <si>
    <t>MER-0803</t>
  </si>
  <si>
    <t>MER-0804</t>
  </si>
  <si>
    <t>F7</t>
  </si>
  <si>
    <t>MER-0701</t>
  </si>
  <si>
    <t>Office</t>
  </si>
  <si>
    <t>MER-0702</t>
  </si>
  <si>
    <t>F6</t>
  </si>
  <si>
    <t>MER-0601</t>
  </si>
  <si>
    <t>MER-0602</t>
  </si>
  <si>
    <t>F5</t>
  </si>
  <si>
    <t>MER-0501</t>
  </si>
  <si>
    <t>MER-0502</t>
  </si>
  <si>
    <t>F4</t>
  </si>
  <si>
    <t>MER-0401</t>
  </si>
  <si>
    <t>MER-0402</t>
  </si>
  <si>
    <t>F3</t>
  </si>
  <si>
    <t>MER-0301</t>
  </si>
  <si>
    <t>MER-0302</t>
  </si>
  <si>
    <t>F2</t>
  </si>
  <si>
    <t>MER-0201</t>
  </si>
  <si>
    <t>MER-0202</t>
  </si>
  <si>
    <t>F1</t>
  </si>
  <si>
    <t>MER-0101</t>
  </si>
  <si>
    <t>Podium</t>
  </si>
  <si>
    <t>MER-0102</t>
  </si>
  <si>
    <t>MER-0103</t>
  </si>
  <si>
    <t>Total — The Meridian</t>
  </si>
  <si>
    <t>60 units</t>
  </si>
  <si>
    <t>20 avail · 9 res · 31 sold</t>
  </si>
  <si>
    <t>F28–F30</t>
  </si>
  <si>
    <t>SPI-PH</t>
  </si>
  <si>
    <t>F27</t>
  </si>
  <si>
    <t>SPI-2701</t>
  </si>
  <si>
    <t>SPI-2702</t>
  </si>
  <si>
    <t>SPI-2703</t>
  </si>
  <si>
    <t>SPI-2704</t>
  </si>
  <si>
    <t>F26</t>
  </si>
  <si>
    <t>SPI-2601</t>
  </si>
  <si>
    <t>SPI-2602</t>
  </si>
  <si>
    <t>SPI-2603</t>
  </si>
  <si>
    <t>SPI-2604</t>
  </si>
  <si>
    <t>F25</t>
  </si>
  <si>
    <t>SPI-2501</t>
  </si>
  <si>
    <t>SPI-2502</t>
  </si>
  <si>
    <t>SPI-2503</t>
  </si>
  <si>
    <t>SPI-2504</t>
  </si>
  <si>
    <t>F24</t>
  </si>
  <si>
    <t>SPI-2401</t>
  </si>
  <si>
    <t>SPI-2402</t>
  </si>
  <si>
    <t>SPI-2403</t>
  </si>
  <si>
    <t>SPI-2404</t>
  </si>
  <si>
    <t>F23</t>
  </si>
  <si>
    <t>SPI-2301</t>
  </si>
  <si>
    <t>SPI-2302</t>
  </si>
  <si>
    <t>SPI-2303</t>
  </si>
  <si>
    <t>SPI-2304</t>
  </si>
  <si>
    <t>F22</t>
  </si>
  <si>
    <t>SPI-2201</t>
  </si>
  <si>
    <t>SPI-2202</t>
  </si>
  <si>
    <t>SPI-2203</t>
  </si>
  <si>
    <t>SPI-2204</t>
  </si>
  <si>
    <t>F21</t>
  </si>
  <si>
    <t>SPI-2101</t>
  </si>
  <si>
    <t>SPI-2102</t>
  </si>
  <si>
    <t>SPI-2103</t>
  </si>
  <si>
    <t>SPI-2104</t>
  </si>
  <si>
    <t>F20</t>
  </si>
  <si>
    <t>SPI-2001</t>
  </si>
  <si>
    <t>SPI-2002</t>
  </si>
  <si>
    <t>SPI-2003</t>
  </si>
  <si>
    <t>SPI-2004</t>
  </si>
  <si>
    <t>F19</t>
  </si>
  <si>
    <t>SPI-1901</t>
  </si>
  <si>
    <t>SPI-1902</t>
  </si>
  <si>
    <t>SPI-1903</t>
  </si>
  <si>
    <t>SPI-1904</t>
  </si>
  <si>
    <t>SPI-1801</t>
  </si>
  <si>
    <t>SPI-1802</t>
  </si>
  <si>
    <t>SPI-1803</t>
  </si>
  <si>
    <t>SPI-1804</t>
  </si>
  <si>
    <t>SPI-1701</t>
  </si>
  <si>
    <t>SPI-1702</t>
  </si>
  <si>
    <t>SPI-1703</t>
  </si>
  <si>
    <t>SPI-1704</t>
  </si>
  <si>
    <t>SPI-1601</t>
  </si>
  <si>
    <t>SPI-1602</t>
  </si>
  <si>
    <t>SPI-1603</t>
  </si>
  <si>
    <t>SPI-1604</t>
  </si>
  <si>
    <t>SPI-1501</t>
  </si>
  <si>
    <t>SPI-1502</t>
  </si>
  <si>
    <t>SPI-1503</t>
  </si>
  <si>
    <t>SPI-1504</t>
  </si>
  <si>
    <t>SPI-1401</t>
  </si>
  <si>
    <t>SPI-1402</t>
  </si>
  <si>
    <t>SPI-1403</t>
  </si>
  <si>
    <t>SPI-1404</t>
  </si>
  <si>
    <t>SPI-1301</t>
  </si>
  <si>
    <t>SPI-1302</t>
  </si>
  <si>
    <t>SPI-1303</t>
  </si>
  <si>
    <t>SPI-1304</t>
  </si>
  <si>
    <t>SPI-1201</t>
  </si>
  <si>
    <t>SPI-1202</t>
  </si>
  <si>
    <t>SPI-1203</t>
  </si>
  <si>
    <t>SPI-1204</t>
  </si>
  <si>
    <t>SPI-1101</t>
  </si>
  <si>
    <t>SPI-1102</t>
  </si>
  <si>
    <t>SPI-1001</t>
  </si>
  <si>
    <t>SPI-1002</t>
  </si>
  <si>
    <t>SPI-0901</t>
  </si>
  <si>
    <t>SPI-0902</t>
  </si>
  <si>
    <t>SPI-0801</t>
  </si>
  <si>
    <t>SPI-0802</t>
  </si>
  <si>
    <t>SPI-0701</t>
  </si>
  <si>
    <t>SPI-0702</t>
  </si>
  <si>
    <t>SPI-0601</t>
  </si>
  <si>
    <t>SPI-0602</t>
  </si>
  <si>
    <t>SPI-0501</t>
  </si>
  <si>
    <t>SPI-0502</t>
  </si>
  <si>
    <t>SPI-0401</t>
  </si>
  <si>
    <t>SPI-0402</t>
  </si>
  <si>
    <t>SPI-0301</t>
  </si>
  <si>
    <t>SPI-0302</t>
  </si>
  <si>
    <t>SPI-0201</t>
  </si>
  <si>
    <t>SPI-0202</t>
  </si>
  <si>
    <t>SPI-0101</t>
  </si>
  <si>
    <t>SPI-0102</t>
  </si>
  <si>
    <t>SPI-0103</t>
  </si>
  <si>
    <t>SPI-0104</t>
  </si>
  <si>
    <t>SPI-0105</t>
  </si>
  <si>
    <t>SPI-0106</t>
  </si>
  <si>
    <t>SPI-0107</t>
  </si>
  <si>
    <t>Total — Meridian Spire</t>
  </si>
  <si>
    <t>92 units</t>
  </si>
  <si>
    <t>35 avail · 13 res · 44 sold</t>
  </si>
  <si>
    <t>LOF-PH</t>
  </si>
  <si>
    <t>LOF-0901</t>
  </si>
  <si>
    <t>LOF-0902</t>
  </si>
  <si>
    <t>LOF-0903</t>
  </si>
  <si>
    <t>LOF-0904</t>
  </si>
  <si>
    <t>LOF-0801</t>
  </si>
  <si>
    <t>LOF-0802</t>
  </si>
  <si>
    <t>LOF-0803</t>
  </si>
  <si>
    <t>LOF-0804</t>
  </si>
  <si>
    <t>LOF-0701</t>
  </si>
  <si>
    <t>LOF-0702</t>
  </si>
  <si>
    <t>LOF-0703</t>
  </si>
  <si>
    <t>LOF-0704</t>
  </si>
  <si>
    <t>LOF-0601</t>
  </si>
  <si>
    <t>LOF-0602</t>
  </si>
  <si>
    <t>LOF-0603</t>
  </si>
  <si>
    <t>LOF-0604</t>
  </si>
  <si>
    <t>LOF-0501</t>
  </si>
  <si>
    <t>LOF-0502</t>
  </si>
  <si>
    <t>LOF-0503</t>
  </si>
  <si>
    <t>LOF-0504</t>
  </si>
  <si>
    <t>LOF-0401</t>
  </si>
  <si>
    <t>LOF-0402</t>
  </si>
  <si>
    <t>LOF-0403</t>
  </si>
  <si>
    <t>LOF-0404</t>
  </si>
  <si>
    <t>LOF-0301</t>
  </si>
  <si>
    <t>LOF-0302</t>
  </si>
  <si>
    <t>LOF-0201</t>
  </si>
  <si>
    <t>LOF-0202</t>
  </si>
  <si>
    <t>LOF-0101</t>
  </si>
  <si>
    <t>LOF-0102</t>
  </si>
  <si>
    <t>LOF-0103</t>
  </si>
  <si>
    <t>Total — Meridian Lofts</t>
  </si>
  <si>
    <t>32 units</t>
  </si>
  <si>
    <t>13 avail · 5 res · 14 sold</t>
  </si>
  <si>
    <t>F97–F100</t>
  </si>
  <si>
    <t>PIN-PH</t>
  </si>
  <si>
    <t>F95</t>
  </si>
  <si>
    <t>PIN-9501</t>
  </si>
  <si>
    <t>PIN-9502</t>
  </si>
  <si>
    <t>PIN-9503</t>
  </si>
  <si>
    <t>PIN-9504</t>
  </si>
  <si>
    <t>F94</t>
  </si>
  <si>
    <t>PIN-9401</t>
  </si>
  <si>
    <t>PIN-9402</t>
  </si>
  <si>
    <t>PIN-9403</t>
  </si>
  <si>
    <t>PIN-9404</t>
  </si>
  <si>
    <t>F93</t>
  </si>
  <si>
    <t>PIN-9301</t>
  </si>
  <si>
    <t>PIN-9302</t>
  </si>
  <si>
    <t>PIN-9303</t>
  </si>
  <si>
    <t>PIN-9304</t>
  </si>
  <si>
    <t>F92</t>
  </si>
  <si>
    <t>PIN-9201</t>
  </si>
  <si>
    <t>PIN-9202</t>
  </si>
  <si>
    <t>PIN-9203</t>
  </si>
  <si>
    <t>PIN-9204</t>
  </si>
  <si>
    <t>F91</t>
  </si>
  <si>
    <t>PIN-9101</t>
  </si>
  <si>
    <t>PIN-9102</t>
  </si>
  <si>
    <t>PIN-9103</t>
  </si>
  <si>
    <t>PIN-9104</t>
  </si>
  <si>
    <t>F90</t>
  </si>
  <si>
    <t>PIN-9001</t>
  </si>
  <si>
    <t>PIN-9002</t>
  </si>
  <si>
    <t>PIN-9003</t>
  </si>
  <si>
    <t>PIN-9004</t>
  </si>
  <si>
    <t>F89</t>
  </si>
  <si>
    <t>PIN-8901</t>
  </si>
  <si>
    <t>PIN-8902</t>
  </si>
  <si>
    <t>PIN-8903</t>
  </si>
  <si>
    <t>PIN-8904</t>
  </si>
  <si>
    <t>F88</t>
  </si>
  <si>
    <t>PIN-8801</t>
  </si>
  <si>
    <t>PIN-8802</t>
  </si>
  <si>
    <t>PIN-8803</t>
  </si>
  <si>
    <t>PIN-8804</t>
  </si>
  <si>
    <t>F87</t>
  </si>
  <si>
    <t>PIN-8701</t>
  </si>
  <si>
    <t>PIN-8702</t>
  </si>
  <si>
    <t>PIN-8703</t>
  </si>
  <si>
    <t>PIN-8704</t>
  </si>
  <si>
    <t>F86</t>
  </si>
  <si>
    <t>PIN-8601</t>
  </si>
  <si>
    <t>PIN-8602</t>
  </si>
  <si>
    <t>PIN-8603</t>
  </si>
  <si>
    <t>PIN-8604</t>
  </si>
  <si>
    <t>F85</t>
  </si>
  <si>
    <t>PIN-8501</t>
  </si>
  <si>
    <t>PIN-8502</t>
  </si>
  <si>
    <t>PIN-8503</t>
  </si>
  <si>
    <t>PIN-8504</t>
  </si>
  <si>
    <t>F84</t>
  </si>
  <si>
    <t>PIN-8401</t>
  </si>
  <si>
    <t>PIN-8402</t>
  </si>
  <si>
    <t>PIN-8403</t>
  </si>
  <si>
    <t>PIN-8404</t>
  </si>
  <si>
    <t>F83</t>
  </si>
  <si>
    <t>PIN-8301</t>
  </si>
  <si>
    <t>PIN-8302</t>
  </si>
  <si>
    <t>PIN-8303</t>
  </si>
  <si>
    <t>PIN-8304</t>
  </si>
  <si>
    <t>F82</t>
  </si>
  <si>
    <t>PIN-8201</t>
  </si>
  <si>
    <t>PIN-8202</t>
  </si>
  <si>
    <t>PIN-8203</t>
  </si>
  <si>
    <t>PIN-8204</t>
  </si>
  <si>
    <t>F81</t>
  </si>
  <si>
    <t>PIN-8101</t>
  </si>
  <si>
    <t>PIN-8102</t>
  </si>
  <si>
    <t>PIN-8103</t>
  </si>
  <si>
    <t>PIN-8104</t>
  </si>
  <si>
    <t>F80</t>
  </si>
  <si>
    <t>PIN-8001</t>
  </si>
  <si>
    <t>PIN-8002</t>
  </si>
  <si>
    <t>PIN-8003</t>
  </si>
  <si>
    <t>PIN-8004</t>
  </si>
  <si>
    <t>F79</t>
  </si>
  <si>
    <t>PIN-7901</t>
  </si>
  <si>
    <t>PIN-7902</t>
  </si>
  <si>
    <t>PIN-7903</t>
  </si>
  <si>
    <t>PIN-7904</t>
  </si>
  <si>
    <t>F78</t>
  </si>
  <si>
    <t>PIN-7801</t>
  </si>
  <si>
    <t>PIN-7802</t>
  </si>
  <si>
    <t>PIN-7803</t>
  </si>
  <si>
    <t>PIN-7804</t>
  </si>
  <si>
    <t>F74</t>
  </si>
  <si>
    <t>PIN-7401</t>
  </si>
  <si>
    <t>PIN-7402</t>
  </si>
  <si>
    <t>PIN-7403</t>
  </si>
  <si>
    <t>PIN-7404</t>
  </si>
  <si>
    <t>F73</t>
  </si>
  <si>
    <t>PIN-7301</t>
  </si>
  <si>
    <t>PIN-7302</t>
  </si>
  <si>
    <t>PIN-7303</t>
  </si>
  <si>
    <t>PIN-7304</t>
  </si>
  <si>
    <t>F72</t>
  </si>
  <si>
    <t>PIN-7201</t>
  </si>
  <si>
    <t>PIN-7202</t>
  </si>
  <si>
    <t>PIN-7203</t>
  </si>
  <si>
    <t>PIN-7204</t>
  </si>
  <si>
    <t>F71</t>
  </si>
  <si>
    <t>PIN-7101</t>
  </si>
  <si>
    <t>PIN-7102</t>
  </si>
  <si>
    <t>PIN-7103</t>
  </si>
  <si>
    <t>PIN-7104</t>
  </si>
  <si>
    <t>F70</t>
  </si>
  <si>
    <t>PIN-7001</t>
  </si>
  <si>
    <t>PIN-7002</t>
  </si>
  <si>
    <t>PIN-7003</t>
  </si>
  <si>
    <t>PIN-7004</t>
  </si>
  <si>
    <t>F69</t>
  </si>
  <si>
    <t>PIN-6901</t>
  </si>
  <si>
    <t>PIN-6902</t>
  </si>
  <si>
    <t>PIN-6903</t>
  </si>
  <si>
    <t>PIN-6904</t>
  </si>
  <si>
    <t>F68</t>
  </si>
  <si>
    <t>PIN-6801</t>
  </si>
  <si>
    <t>PIN-6802</t>
  </si>
  <si>
    <t>PIN-6803</t>
  </si>
  <si>
    <t>PIN-6804</t>
  </si>
  <si>
    <t>F67</t>
  </si>
  <si>
    <t>PIN-6701</t>
  </si>
  <si>
    <t>PIN-6702</t>
  </si>
  <si>
    <t>PIN-6703</t>
  </si>
  <si>
    <t>PIN-6704</t>
  </si>
  <si>
    <t>F66</t>
  </si>
  <si>
    <t>PIN-6601</t>
  </si>
  <si>
    <t>PIN-6602</t>
  </si>
  <si>
    <t>PIN-6603</t>
  </si>
  <si>
    <t>PIN-6604</t>
  </si>
  <si>
    <t>F65</t>
  </si>
  <si>
    <t>PIN-6501</t>
  </si>
  <si>
    <t>PIN-6502</t>
  </si>
  <si>
    <t>PIN-6503</t>
  </si>
  <si>
    <t>PIN-6504</t>
  </si>
  <si>
    <t>F64</t>
  </si>
  <si>
    <t>PIN-6401</t>
  </si>
  <si>
    <t>PIN-6402</t>
  </si>
  <si>
    <t>PIN-6403</t>
  </si>
  <si>
    <t>PIN-6404</t>
  </si>
  <si>
    <t>F63</t>
  </si>
  <si>
    <t>PIN-6301</t>
  </si>
  <si>
    <t>PIN-6302</t>
  </si>
  <si>
    <t>PIN-6303</t>
  </si>
  <si>
    <t>PIN-6304</t>
  </si>
  <si>
    <t>F62</t>
  </si>
  <si>
    <t>PIN-6201</t>
  </si>
  <si>
    <t>PIN-6202</t>
  </si>
  <si>
    <t>PIN-6203</t>
  </si>
  <si>
    <t>PIN-6204</t>
  </si>
  <si>
    <t>F61</t>
  </si>
  <si>
    <t>PIN-6101</t>
  </si>
  <si>
    <t>PIN-6102</t>
  </si>
  <si>
    <t>PIN-6103</t>
  </si>
  <si>
    <t>PIN-6104</t>
  </si>
  <si>
    <t>F60</t>
  </si>
  <si>
    <t>PIN-6001</t>
  </si>
  <si>
    <t>PIN-6002</t>
  </si>
  <si>
    <t>PIN-6003</t>
  </si>
  <si>
    <t>PIN-6004</t>
  </si>
  <si>
    <t>F59</t>
  </si>
  <si>
    <t>PIN-5901</t>
  </si>
  <si>
    <t>PIN-5902</t>
  </si>
  <si>
    <t>PIN-5903</t>
  </si>
  <si>
    <t>PIN-5904</t>
  </si>
  <si>
    <t>F58</t>
  </si>
  <si>
    <t>PIN-5801</t>
  </si>
  <si>
    <t>PIN-5802</t>
  </si>
  <si>
    <t>PIN-5803</t>
  </si>
  <si>
    <t>PIN-5804</t>
  </si>
  <si>
    <t>F57</t>
  </si>
  <si>
    <t>PIN-5701</t>
  </si>
  <si>
    <t>PIN-5702</t>
  </si>
  <si>
    <t>PIN-5703</t>
  </si>
  <si>
    <t>PIN-5704</t>
  </si>
  <si>
    <t>F56</t>
  </si>
  <si>
    <t>PIN-5601</t>
  </si>
  <si>
    <t>PIN-5602</t>
  </si>
  <si>
    <t>PIN-5603</t>
  </si>
  <si>
    <t>PIN-5604</t>
  </si>
  <si>
    <t>F55</t>
  </si>
  <si>
    <t>PIN-5501</t>
  </si>
  <si>
    <t>PIN-5502</t>
  </si>
  <si>
    <t>PIN-5503</t>
  </si>
  <si>
    <t>PIN-5504</t>
  </si>
  <si>
    <t>F54</t>
  </si>
  <si>
    <t>PIN-5401</t>
  </si>
  <si>
    <t>PIN-5402</t>
  </si>
  <si>
    <t>PIN-5403</t>
  </si>
  <si>
    <t>PIN-5404</t>
  </si>
  <si>
    <t>F53</t>
  </si>
  <si>
    <t>PIN-5301</t>
  </si>
  <si>
    <t>PIN-5302</t>
  </si>
  <si>
    <t>PIN-5303</t>
  </si>
  <si>
    <t>PIN-5304</t>
  </si>
  <si>
    <t>F52</t>
  </si>
  <si>
    <t>PIN-5201</t>
  </si>
  <si>
    <t>PIN-5202</t>
  </si>
  <si>
    <t>PIN-5203</t>
  </si>
  <si>
    <t>PIN-5204</t>
  </si>
  <si>
    <t>F49</t>
  </si>
  <si>
    <t>PIN-4901</t>
  </si>
  <si>
    <t>PIN-4902</t>
  </si>
  <si>
    <t>PIN-4903</t>
  </si>
  <si>
    <t>PIN-4904</t>
  </si>
  <si>
    <t>F48</t>
  </si>
  <si>
    <t>PIN-4801</t>
  </si>
  <si>
    <t>PIN-4802</t>
  </si>
  <si>
    <t>PIN-4803</t>
  </si>
  <si>
    <t>PIN-4804</t>
  </si>
  <si>
    <t>F47</t>
  </si>
  <si>
    <t>PIN-4701</t>
  </si>
  <si>
    <t>PIN-4702</t>
  </si>
  <si>
    <t>PIN-4703</t>
  </si>
  <si>
    <t>PIN-4704</t>
  </si>
  <si>
    <t>F46</t>
  </si>
  <si>
    <t>PIN-4601</t>
  </si>
  <si>
    <t>PIN-4602</t>
  </si>
  <si>
    <t>PIN-4603</t>
  </si>
  <si>
    <t>PIN-4604</t>
  </si>
  <si>
    <t>F45</t>
  </si>
  <si>
    <t>PIN-4501</t>
  </si>
  <si>
    <t>PIN-4502</t>
  </si>
  <si>
    <t>PIN-4503</t>
  </si>
  <si>
    <t>PIN-4504</t>
  </si>
  <si>
    <t>F44</t>
  </si>
  <si>
    <t>PIN-4401</t>
  </si>
  <si>
    <t>PIN-4402</t>
  </si>
  <si>
    <t>PIN-4403</t>
  </si>
  <si>
    <t>PIN-4404</t>
  </si>
  <si>
    <t>F43</t>
  </si>
  <si>
    <t>PIN-4301</t>
  </si>
  <si>
    <t>PIN-4302</t>
  </si>
  <si>
    <t>PIN-4303</t>
  </si>
  <si>
    <t>PIN-4304</t>
  </si>
  <si>
    <t>F42</t>
  </si>
  <si>
    <t>PIN-4201</t>
  </si>
  <si>
    <t>PIN-4202</t>
  </si>
  <si>
    <t>PIN-4203</t>
  </si>
  <si>
    <t>PIN-4204</t>
  </si>
  <si>
    <t>F41</t>
  </si>
  <si>
    <t>PIN-4101</t>
  </si>
  <si>
    <t>PIN-4102</t>
  </si>
  <si>
    <t>PIN-4103</t>
  </si>
  <si>
    <t>PIN-4104</t>
  </si>
  <si>
    <t>F40</t>
  </si>
  <si>
    <t>PIN-4001</t>
  </si>
  <si>
    <t>PIN-4002</t>
  </si>
  <si>
    <t>PIN-4003</t>
  </si>
  <si>
    <t>PIN-4004</t>
  </si>
  <si>
    <t>F39</t>
  </si>
  <si>
    <t>PIN-3901</t>
  </si>
  <si>
    <t>PIN-3902</t>
  </si>
  <si>
    <t>PIN-3903</t>
  </si>
  <si>
    <t>PIN-3904</t>
  </si>
  <si>
    <t>F38</t>
  </si>
  <si>
    <t>PIN-3801</t>
  </si>
  <si>
    <t>PIN-3802</t>
  </si>
  <si>
    <t>PIN-3803</t>
  </si>
  <si>
    <t>PIN-3804</t>
  </si>
  <si>
    <t>F37</t>
  </si>
  <si>
    <t>PIN-3701</t>
  </si>
  <si>
    <t>PIN-3702</t>
  </si>
  <si>
    <t>PIN-3703</t>
  </si>
  <si>
    <t>PIN-3704</t>
  </si>
  <si>
    <t>F36</t>
  </si>
  <si>
    <t>PIN-3601</t>
  </si>
  <si>
    <t>PIN-3602</t>
  </si>
  <si>
    <t>PIN-3603</t>
  </si>
  <si>
    <t>PIN-3604</t>
  </si>
  <si>
    <t>F35</t>
  </si>
  <si>
    <t>PIN-3501</t>
  </si>
  <si>
    <t>PIN-3502</t>
  </si>
  <si>
    <t>PIN-3503</t>
  </si>
  <si>
    <t>PIN-3504</t>
  </si>
  <si>
    <t>F34</t>
  </si>
  <si>
    <t>PIN-3401</t>
  </si>
  <si>
    <t>PIN-3402</t>
  </si>
  <si>
    <t>PIN-3403</t>
  </si>
  <si>
    <t>PIN-3404</t>
  </si>
  <si>
    <t>F33</t>
  </si>
  <si>
    <t>PIN-3301</t>
  </si>
  <si>
    <t>PIN-3302</t>
  </si>
  <si>
    <t>PIN-3303</t>
  </si>
  <si>
    <t>PIN-3304</t>
  </si>
  <si>
    <t>F32</t>
  </si>
  <si>
    <t>PIN-3201</t>
  </si>
  <si>
    <t>PIN-3202</t>
  </si>
  <si>
    <t>PIN-3203</t>
  </si>
  <si>
    <t>PIN-3204</t>
  </si>
  <si>
    <t>F31</t>
  </si>
  <si>
    <t>PIN-3101</t>
  </si>
  <si>
    <t>PIN-3102</t>
  </si>
  <si>
    <t>PIN-3103</t>
  </si>
  <si>
    <t>PIN-3104</t>
  </si>
  <si>
    <t>F30</t>
  </si>
  <si>
    <t>PIN-3001</t>
  </si>
  <si>
    <t>PIN-3002</t>
  </si>
  <si>
    <t>PIN-3003</t>
  </si>
  <si>
    <t>PIN-3004</t>
  </si>
  <si>
    <t>F29</t>
  </si>
  <si>
    <t>PIN-2901</t>
  </si>
  <si>
    <t>PIN-2902</t>
  </si>
  <si>
    <t>PIN-2903</t>
  </si>
  <si>
    <t>PIN-2904</t>
  </si>
  <si>
    <t>PIN-2501</t>
  </si>
  <si>
    <t>PIN-2502</t>
  </si>
  <si>
    <t>PIN-2503</t>
  </si>
  <si>
    <t>PIN-2504</t>
  </si>
  <si>
    <t>PIN-2401</t>
  </si>
  <si>
    <t>PIN-2402</t>
  </si>
  <si>
    <t>PIN-2403</t>
  </si>
  <si>
    <t>PIN-2404</t>
  </si>
  <si>
    <t>PIN-2301</t>
  </si>
  <si>
    <t>PIN-2302</t>
  </si>
  <si>
    <t>PIN-2303</t>
  </si>
  <si>
    <t>PIN-2304</t>
  </si>
  <si>
    <t>PIN-2201</t>
  </si>
  <si>
    <t>PIN-2202</t>
  </si>
  <si>
    <t>PIN-2203</t>
  </si>
  <si>
    <t>PIN-2204</t>
  </si>
  <si>
    <t>PIN-2101</t>
  </si>
  <si>
    <t>PIN-2102</t>
  </si>
  <si>
    <t>PIN-2103</t>
  </si>
  <si>
    <t>PIN-2104</t>
  </si>
  <si>
    <t>PIN-2001</t>
  </si>
  <si>
    <t>PIN-2002</t>
  </si>
  <si>
    <t>PIN-2003</t>
  </si>
  <si>
    <t>PIN-2004</t>
  </si>
  <si>
    <t>PIN-1901</t>
  </si>
  <si>
    <t>PIN-1902</t>
  </si>
  <si>
    <t>PIN-1903</t>
  </si>
  <si>
    <t>PIN-1904</t>
  </si>
  <si>
    <t>PIN-1801</t>
  </si>
  <si>
    <t>PIN-1802</t>
  </si>
  <si>
    <t>PIN-1803</t>
  </si>
  <si>
    <t>PIN-1804</t>
  </si>
  <si>
    <t>PIN-1701</t>
  </si>
  <si>
    <t>PIN-1702</t>
  </si>
  <si>
    <t>PIN-1703</t>
  </si>
  <si>
    <t>PIN-1704</t>
  </si>
  <si>
    <t>PIN-1601</t>
  </si>
  <si>
    <t>PIN-1602</t>
  </si>
  <si>
    <t>PIN-1603</t>
  </si>
  <si>
    <t>PIN-1604</t>
  </si>
  <si>
    <t>PIN-1501</t>
  </si>
  <si>
    <t>PIN-1502</t>
  </si>
  <si>
    <t>PIN-1503</t>
  </si>
  <si>
    <t>PIN-1504</t>
  </si>
  <si>
    <t>PIN-1401</t>
  </si>
  <si>
    <t>PIN-1402</t>
  </si>
  <si>
    <t>PIN-1403</t>
  </si>
  <si>
    <t>PIN-1404</t>
  </si>
  <si>
    <t>PIN-1301</t>
  </si>
  <si>
    <t>PIN-1302</t>
  </si>
  <si>
    <t>PIN-1303</t>
  </si>
  <si>
    <t>PIN-1304</t>
  </si>
  <si>
    <t>PIN-1201</t>
  </si>
  <si>
    <t>PIN-1202</t>
  </si>
  <si>
    <t>PIN-1203</t>
  </si>
  <si>
    <t>PIN-1204</t>
  </si>
  <si>
    <t>PIN-1101</t>
  </si>
  <si>
    <t>PIN-1102</t>
  </si>
  <si>
    <t>PIN-1103</t>
  </si>
  <si>
    <t>PIN-1104</t>
  </si>
  <si>
    <t>PIN-1001</t>
  </si>
  <si>
    <t>PIN-1002</t>
  </si>
  <si>
    <t>PIN-1003</t>
  </si>
  <si>
    <t>PIN-1004</t>
  </si>
  <si>
    <t>PIN-0901</t>
  </si>
  <si>
    <t>PIN-0902</t>
  </si>
  <si>
    <t>PIN-0903</t>
  </si>
  <si>
    <t>PIN-0904</t>
  </si>
  <si>
    <t>PIN-0801</t>
  </si>
  <si>
    <t>PIN-0802</t>
  </si>
  <si>
    <t>PIN-0803</t>
  </si>
  <si>
    <t>PIN-0804</t>
  </si>
  <si>
    <t>PIN-0701</t>
  </si>
  <si>
    <t>PIN-0702</t>
  </si>
  <si>
    <t>PIN-0703</t>
  </si>
  <si>
    <t>PIN-0704</t>
  </si>
  <si>
    <t>PIN-0601</t>
  </si>
  <si>
    <t>PIN-0602</t>
  </si>
  <si>
    <t>PIN-0603</t>
  </si>
  <si>
    <t>PIN-0604</t>
  </si>
  <si>
    <t>PIN-0501</t>
  </si>
  <si>
    <t>PIN-0502</t>
  </si>
  <si>
    <t>PIN-0503</t>
  </si>
  <si>
    <t>PIN-0504</t>
  </si>
  <si>
    <t>PIN-0401</t>
  </si>
  <si>
    <t>PIN-0402</t>
  </si>
  <si>
    <t>PIN-0403</t>
  </si>
  <si>
    <t>PIN-0404</t>
  </si>
  <si>
    <t>PIN-0301</t>
  </si>
  <si>
    <t>PIN-0302</t>
  </si>
  <si>
    <t>PIN-0303</t>
  </si>
  <si>
    <t>PIN-0304</t>
  </si>
  <si>
    <t>PIN-0101</t>
  </si>
  <si>
    <t>PIN-0102</t>
  </si>
  <si>
    <t>PIN-0103</t>
  </si>
  <si>
    <t>PIN-0104</t>
  </si>
  <si>
    <t>PIN-0105</t>
  </si>
  <si>
    <t>PIN-0106</t>
  </si>
  <si>
    <t>PIN-0107</t>
  </si>
  <si>
    <t>PIN-0108</t>
  </si>
  <si>
    <t>Total — Meridian Pinnacle</t>
  </si>
  <si>
    <t>349 units</t>
  </si>
  <si>
    <t>136 avail · 44 res · 169 sold</t>
  </si>
  <si>
    <t>533 units</t>
  </si>
  <si>
    <t>Monthly cash flow · Jersey City, NJ · Selling · generated 23 October 2026</t>
  </si>
  <si>
    <t>Month</t>
  </si>
  <si>
    <t>Spend</t>
  </si>
  <si>
    <t>Net receipts</t>
  </si>
  <si>
    <t>Equity in</t>
  </si>
  <si>
    <t>Equity out</t>
  </si>
  <si>
    <t>Debt balance</t>
  </si>
  <si>
    <t>Equity position</t>
  </si>
  <si>
    <t>Month 0 is land. Receipts are net of commission and the AURA fee; equity position is cumulative distributions less contributions.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</si>
</sst>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;[Red]-&quot;$&quot;#,##0.00"/>
    <numFmt numFmtId="165" formatCode="0.0%"/>
    <numFmt numFmtId="166" formatCode="&quot;$&quot;#,##0;[Red]-&quot;$&quot;#,##0"/>
  </numFmts>
  <fonts count="9" x14ac:knownFonts="1">
    <font>
      <color theme="1"/>
      <family val="2"/>
      <scheme val="minor"/>
      <sz val="11"/>
      <name val="Calibri"/>
    </font>
    <font>
      <b/>
      <sz val="16"/>
      <name val="Inter"/>
    </font>
    <font>
      <color rgb="FF666666"/>
      <sz val="10"/>
      <name val="Inter"/>
    </font>
    <font>
      <i/>
      <color rgb="FF9C7A52"/>
      <sz val="10"/>
      <name val="Inter"/>
    </font>
    <font>
      <b/>
      <sz val="10"/>
      <name val="Inter"/>
    </font>
    <font>
      <sz val="10"/>
      <name val="Inter"/>
    </font>
    <font>
      <color rgb="FF666666"/>
      <sz val="9"/>
      <name val="Inter"/>
    </font>
    <font>
      <b/>
      <color rgb="FF9C7A52"/>
      <sz val="12"/>
      <name val="Inter"/>
    </font>
    <font>
      <b/>
      <color rgb="FF9C7A52"/>
      <sz val="10"/>
      <name val="Inte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9C7A52"/>
      </bottom>
      <diagonal/>
    </border>
    <border>
      <left/>
      <right/>
      <top style="thin"/>
      <bottom/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3" fontId="5" fillId="0" borderId="0" xfId="0" applyNumberFormat="1" applyFont="1"/>
    <xf numFmtId="0" fontId="4" fillId="0" borderId="2" xfId="0" applyFont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3" fontId="4" fillId="0" borderId="2" xfId="0" applyNumberFormat="1" applyFont="1" applyBorder="1"/>
    <xf numFmtId="0" fontId="6" fillId="0" borderId="0" xfId="0" applyFont="1"/>
    <xf numFmtId="0" fontId="7" fillId="0" borderId="0" xfId="0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66" fontId="5" fillId="0" borderId="0" xfId="0" applyNumberFormat="1" applyFont="1"/>
    <xf numFmtId="166" fontId="4" fillId="0" borderId="2" xfId="0" applyNumberFormat="1" applyFont="1" applyBorder="1"/>
    <xf numFmtId="0" fontId="4" fillId="0" borderId="0" xfId="0" applyFont="1"/>
    <xf numFmtId="3" fontId="4" fillId="0" borderId="0" xfId="0" applyNumberFormat="1" applyFont="1"/>
    <xf numFmtId="166" fontId="4" fillId="0" borderId="0" xfId="0" applyNumberFormat="1" applyFont="1"/>
    <xf numFmtId="0" fontId="8" fillId="0" borderId="0" xfId="0" applyFont="1" applyAlignment="1">
      <alignment horizontal="center"/>
    </xf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9" customWidth="1"/>
    <col min="5" max="6" width="11" customWidth="1"/>
    <col min="7" max="8" width="19" customWidth="1"/>
    <col min="9" max="9" width="11" customWidth="1"/>
    <col min="10" max="10" width="19" customWidth="1"/>
    <col min="11" max="13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13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</row>
    <row r="6" spans="1:13" x14ac:dyDescent="0.25">
      <c r="A6" s="6" t="s">
        <v>16</v>
      </c>
      <c r="B6" s="7">
        <v>167215093.17726773</v>
      </c>
      <c r="C6" s="7">
        <v>132608706.15964063</v>
      </c>
      <c r="D6" s="7">
        <v>34606387.017627105</v>
      </c>
      <c r="E6" s="8">
        <v>0.2609661765040246</v>
      </c>
      <c r="F6" s="8">
        <v>0.20695731683108445</v>
      </c>
      <c r="G6" s="7">
        <v>48416800</v>
      </c>
      <c r="H6" s="7">
        <v>79175453.36432263</v>
      </c>
      <c r="I6" s="8">
        <v>0.28257853651844456</v>
      </c>
      <c r="J6" s="7">
        <v>31137204.821415827</v>
      </c>
      <c r="K6" s="9">
        <v>60</v>
      </c>
      <c r="L6" s="9">
        <v>120000.00000000003</v>
      </c>
      <c r="M6" s="9">
        <v>120000.00000000003</v>
      </c>
    </row>
    <row r="7" spans="1:13" x14ac:dyDescent="0.25">
      <c r="A7" s="6" t="s">
        <v>17</v>
      </c>
      <c r="B7" s="7">
        <v>279049539.2424202</v>
      </c>
      <c r="C7" s="7">
        <v>227380547.23001358</v>
      </c>
      <c r="D7" s="7">
        <v>51668992.01240662</v>
      </c>
      <c r="E7" s="8">
        <v>0.2272357624337112</v>
      </c>
      <c r="F7" s="8">
        <v>0.18516064263241783</v>
      </c>
      <c r="G7" s="7">
        <v>83093920</v>
      </c>
      <c r="H7" s="7">
        <v>135915141.05274108</v>
      </c>
      <c r="I7" s="8">
        <v>0.24041615135980865</v>
      </c>
      <c r="J7" s="7">
        <v>47860735.47200325</v>
      </c>
      <c r="K7" s="9">
        <v>92</v>
      </c>
      <c r="L7" s="9">
        <v>184999.99999999994</v>
      </c>
      <c r="M7" s="9">
        <v>184999.99999999994</v>
      </c>
    </row>
    <row r="8" spans="1:13" x14ac:dyDescent="0.25">
      <c r="A8" s="6" t="s">
        <v>18</v>
      </c>
      <c r="B8" s="7">
        <v>76189439.68134838</v>
      </c>
      <c r="C8" s="7">
        <v>63482393.72970899</v>
      </c>
      <c r="D8" s="7">
        <v>12707045.951639391</v>
      </c>
      <c r="E8" s="8">
        <v>0.2001664588412117</v>
      </c>
      <c r="F8" s="8">
        <v>0.16678224705136072</v>
      </c>
      <c r="G8" s="7">
        <v>23232448</v>
      </c>
      <c r="H8" s="7">
        <v>37964262.53926856</v>
      </c>
      <c r="I8" s="8">
        <v>0.22704385559386142</v>
      </c>
      <c r="J8" s="7">
        <v>10908806.004747994</v>
      </c>
      <c r="K8" s="9">
        <v>32</v>
      </c>
      <c r="L8" s="9">
        <v>68000</v>
      </c>
      <c r="M8" s="9">
        <v>68000</v>
      </c>
    </row>
    <row r="9" spans="1:13" x14ac:dyDescent="0.25">
      <c r="A9" s="6" t="s">
        <v>19</v>
      </c>
      <c r="B9" s="7">
        <v>1939794726.896574</v>
      </c>
      <c r="C9" s="7">
        <v>1756647468.3999867</v>
      </c>
      <c r="D9" s="7">
        <v>183147258.49658728</v>
      </c>
      <c r="E9" s="8">
        <v>0.10425954085335284</v>
      </c>
      <c r="F9" s="8">
        <v>0.09441579356677585</v>
      </c>
      <c r="G9" s="7">
        <v>615061794.7907324</v>
      </c>
      <c r="H9" s="7">
        <v>1083391831.8023567</v>
      </c>
      <c r="I9" s="8">
        <v>0.06796050873702453</v>
      </c>
      <c r="J9" s="7">
        <v>195848137.34715843</v>
      </c>
      <c r="K9" s="9">
        <v>349</v>
      </c>
      <c r="L9" s="9">
        <v>1200000</v>
      </c>
      <c r="M9" s="9">
        <v>1086576.6840820555</v>
      </c>
    </row>
    <row r="10" spans="1:13" x14ac:dyDescent="0.25">
      <c r="A10" s="10" t="s">
        <v>20</v>
      </c>
      <c r="B10" s="11">
        <v>2462248798.99761</v>
      </c>
      <c r="C10" s="11">
        <v>2180119115.51935</v>
      </c>
      <c r="D10" s="11">
        <v>282129683.4782604</v>
      </c>
      <c r="E10" s="12">
        <v>0.12941021500609667</v>
      </c>
      <c r="F10" s="12">
        <v>0.11458211842487906</v>
      </c>
      <c r="G10" s="11">
        <v>769804962.7907324</v>
      </c>
      <c r="H10" s="11"/>
      <c r="I10" s="12"/>
      <c r="J10" s="11"/>
      <c r="K10" s="13">
        <v>533</v>
      </c>
      <c r="L10" s="13">
        <v>1573000</v>
      </c>
      <c r="M10" s="13">
        <v>1459576.6840820555</v>
      </c>
    </row>
    <row r="12" spans="1:1" x14ac:dyDescent="0.25">
      <c r="A12" s="14" t="s">
        <v>21</v>
      </c>
    </row>
    <row r="13" spans="1:1" x14ac:dyDescent="0.25">
      <c r="A13" s="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 showGridLines="0"/>
  </sheetViews>
  <sheetFormatPr defaultRowHeight="15" outlineLevelRow="0" outlineLevelCol="0" x14ac:dyDescent="55"/>
  <cols>
    <col min="1" max="1" width="36" customWidth="1"/>
    <col min="2" max="2" width="58" customWidth="1"/>
  </cols>
  <sheetData>
    <row r="1" spans="1:1" x14ac:dyDescent="0.25">
      <c r="A1" s="1" t="s">
        <v>0</v>
      </c>
    </row>
    <row r="2" spans="1:1" x14ac:dyDescent="0.25">
      <c r="A2" s="2" t="s">
        <v>23</v>
      </c>
    </row>
    <row r="3" spans="1:1" x14ac:dyDescent="0.25">
      <c r="A3" s="3" t="s">
        <v>2</v>
      </c>
    </row>
    <row r="5" spans="1:1" x14ac:dyDescent="0.25">
      <c r="A5" s="15" t="s">
        <v>16</v>
      </c>
    </row>
    <row r="6" spans="1:2" x14ac:dyDescent="0.25">
      <c r="A6" s="16" t="s">
        <v>24</v>
      </c>
      <c r="B6" s="17" t="s">
        <v>25</v>
      </c>
    </row>
    <row r="7" spans="1:2" x14ac:dyDescent="0.25">
      <c r="A7" s="16" t="s">
        <v>26</v>
      </c>
      <c r="B7" s="17" t="s">
        <v>27</v>
      </c>
    </row>
    <row r="8" spans="1:2" x14ac:dyDescent="0.25">
      <c r="A8" s="16" t="s">
        <v>28</v>
      </c>
      <c r="B8" s="17" t="s">
        <v>29</v>
      </c>
    </row>
    <row r="9" spans="1:2" x14ac:dyDescent="0.25">
      <c r="A9" s="16" t="s">
        <v>30</v>
      </c>
      <c r="B9" s="17" t="s">
        <v>31</v>
      </c>
    </row>
    <row r="10" spans="1:2" x14ac:dyDescent="0.25">
      <c r="A10" s="16" t="s">
        <v>32</v>
      </c>
      <c r="B10" s="17" t="s">
        <v>33</v>
      </c>
    </row>
    <row r="11" spans="1:2" x14ac:dyDescent="0.25">
      <c r="A11" s="16" t="s">
        <v>34</v>
      </c>
      <c r="B11" s="17" t="s">
        <v>35</v>
      </c>
    </row>
    <row r="12" spans="1:2" x14ac:dyDescent="0.25">
      <c r="A12" s="16" t="s">
        <v>36</v>
      </c>
      <c r="B12" s="17" t="s">
        <v>37</v>
      </c>
    </row>
    <row r="13" spans="1:2" x14ac:dyDescent="0.25">
      <c r="A13" s="16" t="s">
        <v>38</v>
      </c>
      <c r="B13" s="17" t="s">
        <v>39</v>
      </c>
    </row>
    <row r="14" spans="1:2" x14ac:dyDescent="0.25">
      <c r="A14" s="16" t="s">
        <v>40</v>
      </c>
      <c r="B14" s="17" t="s">
        <v>41</v>
      </c>
    </row>
    <row r="15" spans="1:2" x14ac:dyDescent="0.25">
      <c r="A15" s="16" t="s">
        <v>42</v>
      </c>
      <c r="B15" s="17" t="s">
        <v>43</v>
      </c>
    </row>
    <row r="16" spans="1:2" x14ac:dyDescent="0.25">
      <c r="A16" s="16" t="s">
        <v>44</v>
      </c>
      <c r="B16" s="17" t="s">
        <v>45</v>
      </c>
    </row>
    <row r="17" spans="1:2" x14ac:dyDescent="0.25">
      <c r="A17" s="16" t="s">
        <v>46</v>
      </c>
      <c r="B17" s="17" t="s">
        <v>47</v>
      </c>
    </row>
    <row r="18" spans="1:2" x14ac:dyDescent="0.25">
      <c r="A18" s="16" t="s">
        <v>48</v>
      </c>
      <c r="B18" s="17" t="s">
        <v>49</v>
      </c>
    </row>
    <row r="19" spans="1:2" x14ac:dyDescent="0.25">
      <c r="A19" s="16" t="s">
        <v>4</v>
      </c>
      <c r="B19" s="17" t="s">
        <v>50</v>
      </c>
    </row>
    <row r="20" spans="1:2" x14ac:dyDescent="0.25">
      <c r="A20" s="16" t="s">
        <v>51</v>
      </c>
      <c r="B20" s="17" t="s">
        <v>52</v>
      </c>
    </row>
    <row r="21" spans="1:2" x14ac:dyDescent="0.25">
      <c r="A21" s="16" t="s">
        <v>6</v>
      </c>
      <c r="B21" s="17" t="s">
        <v>53</v>
      </c>
    </row>
    <row r="22" spans="1:2" x14ac:dyDescent="0.25">
      <c r="A22" s="16" t="s">
        <v>54</v>
      </c>
      <c r="B22" s="17" t="s">
        <v>55</v>
      </c>
    </row>
    <row r="23" spans="1:2" x14ac:dyDescent="0.25">
      <c r="A23" s="16" t="s">
        <v>56</v>
      </c>
      <c r="B23" s="17" t="s">
        <v>57</v>
      </c>
    </row>
    <row r="24" spans="1:2" x14ac:dyDescent="0.25">
      <c r="A24" s="16" t="s">
        <v>58</v>
      </c>
      <c r="B24" s="17" t="s">
        <v>59</v>
      </c>
    </row>
    <row r="25" spans="1:2" x14ac:dyDescent="0.25">
      <c r="A25" s="16" t="s">
        <v>60</v>
      </c>
      <c r="B25" s="17" t="s">
        <v>61</v>
      </c>
    </row>
    <row r="27" spans="1:1" x14ac:dyDescent="0.25">
      <c r="A27" s="15" t="s">
        <v>17</v>
      </c>
    </row>
    <row r="28" spans="1:2" x14ac:dyDescent="0.25">
      <c r="A28" s="16" t="s">
        <v>24</v>
      </c>
      <c r="B28" s="17" t="s">
        <v>62</v>
      </c>
    </row>
    <row r="29" spans="1:2" x14ac:dyDescent="0.25">
      <c r="A29" s="16" t="s">
        <v>26</v>
      </c>
      <c r="B29" s="17" t="s">
        <v>63</v>
      </c>
    </row>
    <row r="30" spans="1:2" x14ac:dyDescent="0.25">
      <c r="A30" s="16" t="s">
        <v>28</v>
      </c>
      <c r="B30" s="17" t="s">
        <v>64</v>
      </c>
    </row>
    <row r="31" spans="1:2" x14ac:dyDescent="0.25">
      <c r="A31" s="16" t="s">
        <v>30</v>
      </c>
      <c r="B31" s="17" t="s">
        <v>65</v>
      </c>
    </row>
    <row r="32" spans="1:2" x14ac:dyDescent="0.25">
      <c r="A32" s="16" t="s">
        <v>32</v>
      </c>
      <c r="B32" s="17" t="s">
        <v>66</v>
      </c>
    </row>
    <row r="33" spans="1:2" x14ac:dyDescent="0.25">
      <c r="A33" s="16" t="s">
        <v>34</v>
      </c>
      <c r="B33" s="17" t="s">
        <v>35</v>
      </c>
    </row>
    <row r="34" spans="1:2" x14ac:dyDescent="0.25">
      <c r="A34" s="16" t="s">
        <v>36</v>
      </c>
      <c r="B34" s="17" t="s">
        <v>67</v>
      </c>
    </row>
    <row r="35" spans="1:2" x14ac:dyDescent="0.25">
      <c r="A35" s="16" t="s">
        <v>38</v>
      </c>
      <c r="B35" s="17" t="s">
        <v>68</v>
      </c>
    </row>
    <row r="36" spans="1:2" x14ac:dyDescent="0.25">
      <c r="A36" s="16" t="s">
        <v>40</v>
      </c>
      <c r="B36" s="17" t="s">
        <v>69</v>
      </c>
    </row>
    <row r="37" spans="1:2" x14ac:dyDescent="0.25">
      <c r="A37" s="16" t="s">
        <v>42</v>
      </c>
      <c r="B37" s="17" t="s">
        <v>70</v>
      </c>
    </row>
    <row r="38" spans="1:2" x14ac:dyDescent="0.25">
      <c r="A38" s="16" t="s">
        <v>44</v>
      </c>
      <c r="B38" s="17" t="s">
        <v>71</v>
      </c>
    </row>
    <row r="39" spans="1:2" x14ac:dyDescent="0.25">
      <c r="A39" s="16" t="s">
        <v>46</v>
      </c>
      <c r="B39" s="17" t="s">
        <v>72</v>
      </c>
    </row>
    <row r="40" spans="1:2" x14ac:dyDescent="0.25">
      <c r="A40" s="16" t="s">
        <v>48</v>
      </c>
      <c r="B40" s="17" t="s">
        <v>73</v>
      </c>
    </row>
    <row r="41" spans="1:2" x14ac:dyDescent="0.25">
      <c r="A41" s="16" t="s">
        <v>4</v>
      </c>
      <c r="B41" s="17" t="s">
        <v>74</v>
      </c>
    </row>
    <row r="42" spans="1:2" x14ac:dyDescent="0.25">
      <c r="A42" s="16" t="s">
        <v>51</v>
      </c>
      <c r="B42" s="17" t="s">
        <v>75</v>
      </c>
    </row>
    <row r="43" spans="1:2" x14ac:dyDescent="0.25">
      <c r="A43" s="16" t="s">
        <v>6</v>
      </c>
      <c r="B43" s="17" t="s">
        <v>76</v>
      </c>
    </row>
    <row r="44" spans="1:2" x14ac:dyDescent="0.25">
      <c r="A44" s="16" t="s">
        <v>54</v>
      </c>
      <c r="B44" s="17" t="s">
        <v>77</v>
      </c>
    </row>
    <row r="45" spans="1:2" x14ac:dyDescent="0.25">
      <c r="A45" s="16" t="s">
        <v>56</v>
      </c>
      <c r="B45" s="17" t="s">
        <v>78</v>
      </c>
    </row>
    <row r="46" spans="1:2" x14ac:dyDescent="0.25">
      <c r="A46" s="16" t="s">
        <v>58</v>
      </c>
      <c r="B46" s="17" t="s">
        <v>79</v>
      </c>
    </row>
    <row r="47" spans="1:2" x14ac:dyDescent="0.25">
      <c r="A47" s="16" t="s">
        <v>60</v>
      </c>
      <c r="B47" s="17" t="s">
        <v>80</v>
      </c>
    </row>
    <row r="49" spans="1:1" x14ac:dyDescent="0.25">
      <c r="A49" s="15" t="s">
        <v>18</v>
      </c>
    </row>
    <row r="50" spans="1:2" x14ac:dyDescent="0.25">
      <c r="A50" s="16" t="s">
        <v>24</v>
      </c>
      <c r="B50" s="17" t="s">
        <v>81</v>
      </c>
    </row>
    <row r="51" spans="1:2" x14ac:dyDescent="0.25">
      <c r="A51" s="16" t="s">
        <v>26</v>
      </c>
      <c r="B51" s="17" t="s">
        <v>82</v>
      </c>
    </row>
    <row r="52" spans="1:2" x14ac:dyDescent="0.25">
      <c r="A52" s="16" t="s">
        <v>28</v>
      </c>
      <c r="B52" s="17" t="s">
        <v>83</v>
      </c>
    </row>
    <row r="53" spans="1:2" x14ac:dyDescent="0.25">
      <c r="A53" s="16" t="s">
        <v>30</v>
      </c>
      <c r="B53" s="17" t="s">
        <v>84</v>
      </c>
    </row>
    <row r="54" spans="1:2" x14ac:dyDescent="0.25">
      <c r="A54" s="16" t="s">
        <v>32</v>
      </c>
      <c r="B54" s="17" t="s">
        <v>85</v>
      </c>
    </row>
    <row r="55" spans="1:2" x14ac:dyDescent="0.25">
      <c r="A55" s="16" t="s">
        <v>34</v>
      </c>
      <c r="B55" s="17" t="s">
        <v>35</v>
      </c>
    </row>
    <row r="56" spans="1:2" x14ac:dyDescent="0.25">
      <c r="A56" s="16" t="s">
        <v>36</v>
      </c>
      <c r="B56" s="17" t="s">
        <v>86</v>
      </c>
    </row>
    <row r="57" spans="1:2" x14ac:dyDescent="0.25">
      <c r="A57" s="16" t="s">
        <v>38</v>
      </c>
      <c r="B57" s="17" t="s">
        <v>87</v>
      </c>
    </row>
    <row r="58" spans="1:2" x14ac:dyDescent="0.25">
      <c r="A58" s="16" t="s">
        <v>40</v>
      </c>
      <c r="B58" s="17" t="s">
        <v>88</v>
      </c>
    </row>
    <row r="59" spans="1:2" x14ac:dyDescent="0.25">
      <c r="A59" s="16" t="s">
        <v>42</v>
      </c>
      <c r="B59" s="17" t="s">
        <v>89</v>
      </c>
    </row>
    <row r="60" spans="1:2" x14ac:dyDescent="0.25">
      <c r="A60" s="16" t="s">
        <v>44</v>
      </c>
      <c r="B60" s="17" t="s">
        <v>90</v>
      </c>
    </row>
    <row r="61" spans="1:2" x14ac:dyDescent="0.25">
      <c r="A61" s="16" t="s">
        <v>46</v>
      </c>
      <c r="B61" s="17" t="s">
        <v>91</v>
      </c>
    </row>
    <row r="62" spans="1:2" x14ac:dyDescent="0.25">
      <c r="A62" s="16" t="s">
        <v>48</v>
      </c>
      <c r="B62" s="17" t="s">
        <v>92</v>
      </c>
    </row>
    <row r="63" spans="1:2" x14ac:dyDescent="0.25">
      <c r="A63" s="16" t="s">
        <v>4</v>
      </c>
      <c r="B63" s="17" t="s">
        <v>93</v>
      </c>
    </row>
    <row r="64" spans="1:2" x14ac:dyDescent="0.25">
      <c r="A64" s="16" t="s">
        <v>51</v>
      </c>
      <c r="B64" s="17" t="s">
        <v>94</v>
      </c>
    </row>
    <row r="65" spans="1:2" x14ac:dyDescent="0.25">
      <c r="A65" s="16" t="s">
        <v>6</v>
      </c>
      <c r="B65" s="17" t="s">
        <v>95</v>
      </c>
    </row>
    <row r="66" spans="1:2" x14ac:dyDescent="0.25">
      <c r="A66" s="16" t="s">
        <v>54</v>
      </c>
      <c r="B66" s="17" t="s">
        <v>96</v>
      </c>
    </row>
    <row r="67" spans="1:2" x14ac:dyDescent="0.25">
      <c r="A67" s="16" t="s">
        <v>56</v>
      </c>
      <c r="B67" s="17" t="s">
        <v>97</v>
      </c>
    </row>
    <row r="68" spans="1:2" x14ac:dyDescent="0.25">
      <c r="A68" s="16" t="s">
        <v>58</v>
      </c>
      <c r="B68" s="17" t="s">
        <v>98</v>
      </c>
    </row>
    <row r="69" spans="1:2" x14ac:dyDescent="0.25">
      <c r="A69" s="16" t="s">
        <v>60</v>
      </c>
      <c r="B69" s="17" t="s">
        <v>99</v>
      </c>
    </row>
    <row r="71" spans="1:1" x14ac:dyDescent="0.25">
      <c r="A71" s="15" t="s">
        <v>19</v>
      </c>
    </row>
    <row r="72" spans="1:2" x14ac:dyDescent="0.25">
      <c r="A72" s="16" t="s">
        <v>24</v>
      </c>
      <c r="B72" s="17" t="s">
        <v>100</v>
      </c>
    </row>
    <row r="73" spans="1:2" x14ac:dyDescent="0.25">
      <c r="A73" s="16" t="s">
        <v>26</v>
      </c>
      <c r="B73" s="17" t="s">
        <v>101</v>
      </c>
    </row>
    <row r="74" spans="1:2" x14ac:dyDescent="0.25">
      <c r="A74" s="16" t="s">
        <v>28</v>
      </c>
      <c r="B74" s="17" t="s">
        <v>102</v>
      </c>
    </row>
    <row r="75" spans="1:2" x14ac:dyDescent="0.25">
      <c r="A75" s="16" t="s">
        <v>30</v>
      </c>
      <c r="B75" s="17" t="s">
        <v>103</v>
      </c>
    </row>
    <row r="76" spans="1:2" x14ac:dyDescent="0.25">
      <c r="A76" s="16" t="s">
        <v>32</v>
      </c>
      <c r="B76" s="17" t="s">
        <v>104</v>
      </c>
    </row>
    <row r="77" spans="1:2" x14ac:dyDescent="0.25">
      <c r="A77" s="16" t="s">
        <v>34</v>
      </c>
      <c r="B77" s="17" t="s">
        <v>105</v>
      </c>
    </row>
    <row r="78" spans="1:2" x14ac:dyDescent="0.25">
      <c r="A78" s="16" t="s">
        <v>36</v>
      </c>
      <c r="B78" s="17" t="s">
        <v>106</v>
      </c>
    </row>
    <row r="79" spans="1:2" x14ac:dyDescent="0.25">
      <c r="A79" s="16" t="s">
        <v>38</v>
      </c>
      <c r="B79" s="17" t="s">
        <v>107</v>
      </c>
    </row>
    <row r="80" spans="1:2" x14ac:dyDescent="0.25">
      <c r="A80" s="16" t="s">
        <v>40</v>
      </c>
      <c r="B80" s="17" t="s">
        <v>108</v>
      </c>
    </row>
    <row r="81" spans="1:2" x14ac:dyDescent="0.25">
      <c r="A81" s="16" t="s">
        <v>42</v>
      </c>
      <c r="B81" s="17" t="s">
        <v>109</v>
      </c>
    </row>
    <row r="82" spans="1:2" x14ac:dyDescent="0.25">
      <c r="A82" s="16" t="s">
        <v>44</v>
      </c>
      <c r="B82" s="17" t="s">
        <v>110</v>
      </c>
    </row>
    <row r="83" spans="1:2" x14ac:dyDescent="0.25">
      <c r="A83" s="16" t="s">
        <v>46</v>
      </c>
      <c r="B83" s="17" t="s">
        <v>111</v>
      </c>
    </row>
    <row r="84" spans="1:2" x14ac:dyDescent="0.25">
      <c r="A84" s="16" t="s">
        <v>48</v>
      </c>
      <c r="B84" s="17" t="s">
        <v>112</v>
      </c>
    </row>
    <row r="85" spans="1:2" x14ac:dyDescent="0.25">
      <c r="A85" s="16" t="s">
        <v>4</v>
      </c>
      <c r="B85" s="17" t="s">
        <v>113</v>
      </c>
    </row>
    <row r="86" spans="1:2" x14ac:dyDescent="0.25">
      <c r="A86" s="16" t="s">
        <v>51</v>
      </c>
      <c r="B86" s="17" t="s">
        <v>114</v>
      </c>
    </row>
    <row r="87" spans="1:2" x14ac:dyDescent="0.25">
      <c r="A87" s="16" t="s">
        <v>6</v>
      </c>
      <c r="B87" s="17" t="s">
        <v>115</v>
      </c>
    </row>
    <row r="88" spans="1:2" x14ac:dyDescent="0.25">
      <c r="A88" s="16" t="s">
        <v>54</v>
      </c>
      <c r="B88" s="17" t="s">
        <v>116</v>
      </c>
    </row>
    <row r="89" spans="1:2" x14ac:dyDescent="0.25">
      <c r="A89" s="16" t="s">
        <v>56</v>
      </c>
      <c r="B89" s="17" t="s">
        <v>117</v>
      </c>
    </row>
    <row r="90" spans="1:2" x14ac:dyDescent="0.25">
      <c r="A90" s="16" t="s">
        <v>58</v>
      </c>
      <c r="B90" s="17" t="s">
        <v>118</v>
      </c>
    </row>
    <row r="91" spans="1:2" x14ac:dyDescent="0.25">
      <c r="A91" s="16" t="s">
        <v>60</v>
      </c>
      <c r="B91" s="17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1" customWidth="1"/>
    <col min="4" max="4" width="13" customWidth="1"/>
    <col min="5" max="5" width="11" customWidth="1"/>
    <col min="6" max="6" width="18" customWidth="1"/>
    <col min="7" max="7" width="30" customWidth="1"/>
  </cols>
  <sheetData>
    <row r="1" spans="1:1" x14ac:dyDescent="0.25">
      <c r="A1" s="1" t="s">
        <v>0</v>
      </c>
    </row>
    <row r="2" spans="1:1" x14ac:dyDescent="0.25">
      <c r="A2" s="2" t="s">
        <v>120</v>
      </c>
    </row>
    <row r="3" spans="1:1" x14ac:dyDescent="0.25">
      <c r="A3" s="3" t="s">
        <v>2</v>
      </c>
    </row>
    <row r="5" spans="1:7" x14ac:dyDescent="0.25">
      <c r="A5" s="4" t="s">
        <v>3</v>
      </c>
      <c r="B5" s="5" t="s">
        <v>121</v>
      </c>
      <c r="C5" s="5" t="s">
        <v>122</v>
      </c>
      <c r="D5" s="5" t="s">
        <v>123</v>
      </c>
      <c r="E5" s="5" t="s">
        <v>14</v>
      </c>
      <c r="F5" s="5" t="s">
        <v>124</v>
      </c>
      <c r="G5" s="5" t="s">
        <v>125</v>
      </c>
    </row>
    <row r="6" spans="1:7" x14ac:dyDescent="0.25">
      <c r="A6" s="6" t="s">
        <v>16</v>
      </c>
      <c r="B6" s="6" t="s">
        <v>126</v>
      </c>
      <c r="C6" s="6" t="s">
        <v>127</v>
      </c>
      <c r="D6" s="6" t="s">
        <v>128</v>
      </c>
      <c r="E6" s="9">
        <v>6246.727244725089</v>
      </c>
      <c r="F6" s="18">
        <v>12993192.669028185</v>
      </c>
      <c r="G6" s="6" t="s">
        <v>129</v>
      </c>
    </row>
    <row r="7" spans="1:7" x14ac:dyDescent="0.25">
      <c r="A7" s="6" t="s">
        <v>16</v>
      </c>
      <c r="B7" s="6" t="s">
        <v>130</v>
      </c>
      <c r="C7" s="6" t="s">
        <v>131</v>
      </c>
      <c r="D7" s="6" t="s">
        <v>132</v>
      </c>
      <c r="E7" s="9">
        <v>1335.2841521638686</v>
      </c>
      <c r="F7" s="18">
        <v>1909456.3375943322</v>
      </c>
      <c r="G7" s="6" t="s">
        <v>129</v>
      </c>
    </row>
    <row r="8" spans="1:7" x14ac:dyDescent="0.25">
      <c r="A8" s="6" t="s">
        <v>16</v>
      </c>
      <c r="B8" s="6" t="s">
        <v>130</v>
      </c>
      <c r="C8" s="6" t="s">
        <v>133</v>
      </c>
      <c r="D8" s="6" t="s">
        <v>132</v>
      </c>
      <c r="E8" s="9">
        <v>1335.2841521638686</v>
      </c>
      <c r="F8" s="18">
        <v>1909456.3375943322</v>
      </c>
      <c r="G8" s="6" t="s">
        <v>134</v>
      </c>
    </row>
    <row r="9" spans="1:7" x14ac:dyDescent="0.25">
      <c r="A9" s="6" t="s">
        <v>16</v>
      </c>
      <c r="B9" s="6" t="s">
        <v>130</v>
      </c>
      <c r="C9" s="6" t="s">
        <v>135</v>
      </c>
      <c r="D9" s="6" t="s">
        <v>132</v>
      </c>
      <c r="E9" s="9">
        <v>1335.2841521638686</v>
      </c>
      <c r="F9" s="18">
        <v>1909456.3375943322</v>
      </c>
      <c r="G9" s="6" t="s">
        <v>136</v>
      </c>
    </row>
    <row r="10" spans="1:7" x14ac:dyDescent="0.25">
      <c r="A10" s="6" t="s">
        <v>16</v>
      </c>
      <c r="B10" s="6" t="s">
        <v>130</v>
      </c>
      <c r="C10" s="6" t="s">
        <v>137</v>
      </c>
      <c r="D10" s="6" t="s">
        <v>132</v>
      </c>
      <c r="E10" s="9">
        <v>1335.2841521638686</v>
      </c>
      <c r="F10" s="18">
        <v>1909456.3375943322</v>
      </c>
      <c r="G10" s="6" t="s">
        <v>129</v>
      </c>
    </row>
    <row r="11" spans="1:7" x14ac:dyDescent="0.25">
      <c r="A11" s="6" t="s">
        <v>16</v>
      </c>
      <c r="B11" s="6" t="s">
        <v>138</v>
      </c>
      <c r="C11" s="6" t="s">
        <v>139</v>
      </c>
      <c r="D11" s="6" t="s">
        <v>132</v>
      </c>
      <c r="E11" s="9">
        <v>1335.2841521638686</v>
      </c>
      <c r="F11" s="18">
        <v>1909456.3375943322</v>
      </c>
      <c r="G11" s="6" t="s">
        <v>129</v>
      </c>
    </row>
    <row r="12" spans="1:7" x14ac:dyDescent="0.25">
      <c r="A12" s="6" t="s">
        <v>16</v>
      </c>
      <c r="B12" s="6" t="s">
        <v>138</v>
      </c>
      <c r="C12" s="6" t="s">
        <v>140</v>
      </c>
      <c r="D12" s="6" t="s">
        <v>132</v>
      </c>
      <c r="E12" s="9">
        <v>1335.2841521638686</v>
      </c>
      <c r="F12" s="18">
        <v>1909456.3375943322</v>
      </c>
      <c r="G12" s="6" t="s">
        <v>129</v>
      </c>
    </row>
    <row r="13" spans="1:7" x14ac:dyDescent="0.25">
      <c r="A13" s="6" t="s">
        <v>16</v>
      </c>
      <c r="B13" s="6" t="s">
        <v>138</v>
      </c>
      <c r="C13" s="6" t="s">
        <v>141</v>
      </c>
      <c r="D13" s="6" t="s">
        <v>132</v>
      </c>
      <c r="E13" s="9">
        <v>1335.2841521638686</v>
      </c>
      <c r="F13" s="18">
        <v>1909456.3375943322</v>
      </c>
      <c r="G13" s="6" t="s">
        <v>136</v>
      </c>
    </row>
    <row r="14" spans="1:7" x14ac:dyDescent="0.25">
      <c r="A14" s="6" t="s">
        <v>16</v>
      </c>
      <c r="B14" s="6" t="s">
        <v>138</v>
      </c>
      <c r="C14" s="6" t="s">
        <v>142</v>
      </c>
      <c r="D14" s="6" t="s">
        <v>132</v>
      </c>
      <c r="E14" s="9">
        <v>1335.2841521638686</v>
      </c>
      <c r="F14" s="18">
        <v>1909456.3375943322</v>
      </c>
      <c r="G14" s="6" t="s">
        <v>136</v>
      </c>
    </row>
    <row r="15" spans="1:7" x14ac:dyDescent="0.25">
      <c r="A15" s="6" t="s">
        <v>16</v>
      </c>
      <c r="B15" s="6" t="s">
        <v>143</v>
      </c>
      <c r="C15" s="6" t="s">
        <v>144</v>
      </c>
      <c r="D15" s="6" t="s">
        <v>132</v>
      </c>
      <c r="E15" s="9">
        <v>1335.2841521638686</v>
      </c>
      <c r="F15" s="18">
        <v>1909456.3375943322</v>
      </c>
      <c r="G15" s="6" t="s">
        <v>129</v>
      </c>
    </row>
    <row r="16" spans="1:7" x14ac:dyDescent="0.25">
      <c r="A16" s="6" t="s">
        <v>16</v>
      </c>
      <c r="B16" s="6" t="s">
        <v>143</v>
      </c>
      <c r="C16" s="6" t="s">
        <v>145</v>
      </c>
      <c r="D16" s="6" t="s">
        <v>132</v>
      </c>
      <c r="E16" s="9">
        <v>1335.2841521638686</v>
      </c>
      <c r="F16" s="18">
        <v>1909456.3375943322</v>
      </c>
      <c r="G16" s="6" t="s">
        <v>129</v>
      </c>
    </row>
    <row r="17" spans="1:7" x14ac:dyDescent="0.25">
      <c r="A17" s="6" t="s">
        <v>16</v>
      </c>
      <c r="B17" s="6" t="s">
        <v>143</v>
      </c>
      <c r="C17" s="6" t="s">
        <v>146</v>
      </c>
      <c r="D17" s="6" t="s">
        <v>132</v>
      </c>
      <c r="E17" s="9">
        <v>1335.2841521638686</v>
      </c>
      <c r="F17" s="18">
        <v>1909456.3375943322</v>
      </c>
      <c r="G17" s="6" t="s">
        <v>134</v>
      </c>
    </row>
    <row r="18" spans="1:7" x14ac:dyDescent="0.25">
      <c r="A18" s="6" t="s">
        <v>16</v>
      </c>
      <c r="B18" s="6" t="s">
        <v>143</v>
      </c>
      <c r="C18" s="6" t="s">
        <v>147</v>
      </c>
      <c r="D18" s="6" t="s">
        <v>132</v>
      </c>
      <c r="E18" s="9">
        <v>1335.2841521638686</v>
      </c>
      <c r="F18" s="18">
        <v>1909456.3375943322</v>
      </c>
      <c r="G18" s="6" t="s">
        <v>136</v>
      </c>
    </row>
    <row r="19" spans="1:7" x14ac:dyDescent="0.25">
      <c r="A19" s="6" t="s">
        <v>16</v>
      </c>
      <c r="B19" s="6" t="s">
        <v>148</v>
      </c>
      <c r="C19" s="6" t="s">
        <v>149</v>
      </c>
      <c r="D19" s="6" t="s">
        <v>132</v>
      </c>
      <c r="E19" s="9">
        <v>1335.2841521638686</v>
      </c>
      <c r="F19" s="18">
        <v>1909456.3375943322</v>
      </c>
      <c r="G19" s="6" t="s">
        <v>129</v>
      </c>
    </row>
    <row r="20" spans="1:7" x14ac:dyDescent="0.25">
      <c r="A20" s="6" t="s">
        <v>16</v>
      </c>
      <c r="B20" s="6" t="s">
        <v>148</v>
      </c>
      <c r="C20" s="6" t="s">
        <v>150</v>
      </c>
      <c r="D20" s="6" t="s">
        <v>132</v>
      </c>
      <c r="E20" s="9">
        <v>1335.2841521638686</v>
      </c>
      <c r="F20" s="18">
        <v>1909456.3375943322</v>
      </c>
      <c r="G20" s="6" t="s">
        <v>129</v>
      </c>
    </row>
    <row r="21" spans="1:7" x14ac:dyDescent="0.25">
      <c r="A21" s="6" t="s">
        <v>16</v>
      </c>
      <c r="B21" s="6" t="s">
        <v>148</v>
      </c>
      <c r="C21" s="6" t="s">
        <v>151</v>
      </c>
      <c r="D21" s="6" t="s">
        <v>132</v>
      </c>
      <c r="E21" s="9">
        <v>1335.2841521638686</v>
      </c>
      <c r="F21" s="18">
        <v>1909456.3375943322</v>
      </c>
      <c r="G21" s="6" t="s">
        <v>136</v>
      </c>
    </row>
    <row r="22" spans="1:7" x14ac:dyDescent="0.25">
      <c r="A22" s="6" t="s">
        <v>16</v>
      </c>
      <c r="B22" s="6" t="s">
        <v>148</v>
      </c>
      <c r="C22" s="6" t="s">
        <v>152</v>
      </c>
      <c r="D22" s="6" t="s">
        <v>132</v>
      </c>
      <c r="E22" s="9">
        <v>1335.2841521638686</v>
      </c>
      <c r="F22" s="18">
        <v>1909456.3375943322</v>
      </c>
      <c r="G22" s="6" t="s">
        <v>136</v>
      </c>
    </row>
    <row r="23" spans="1:7" x14ac:dyDescent="0.25">
      <c r="A23" s="6" t="s">
        <v>16</v>
      </c>
      <c r="B23" s="6" t="s">
        <v>153</v>
      </c>
      <c r="C23" s="6" t="s">
        <v>154</v>
      </c>
      <c r="D23" s="6" t="s">
        <v>132</v>
      </c>
      <c r="E23" s="9">
        <v>1335.2841521638686</v>
      </c>
      <c r="F23" s="18">
        <v>1909456.3375943322</v>
      </c>
      <c r="G23" s="6" t="s">
        <v>129</v>
      </c>
    </row>
    <row r="24" spans="1:7" x14ac:dyDescent="0.25">
      <c r="A24" s="6" t="s">
        <v>16</v>
      </c>
      <c r="B24" s="6" t="s">
        <v>153</v>
      </c>
      <c r="C24" s="6" t="s">
        <v>155</v>
      </c>
      <c r="D24" s="6" t="s">
        <v>132</v>
      </c>
      <c r="E24" s="9">
        <v>1335.2841521638686</v>
      </c>
      <c r="F24" s="18">
        <v>1909456.3375943322</v>
      </c>
      <c r="G24" s="6" t="s">
        <v>129</v>
      </c>
    </row>
    <row r="25" spans="1:7" x14ac:dyDescent="0.25">
      <c r="A25" s="6" t="s">
        <v>16</v>
      </c>
      <c r="B25" s="6" t="s">
        <v>153</v>
      </c>
      <c r="C25" s="6" t="s">
        <v>156</v>
      </c>
      <c r="D25" s="6" t="s">
        <v>132</v>
      </c>
      <c r="E25" s="9">
        <v>1335.2841521638686</v>
      </c>
      <c r="F25" s="18">
        <v>1909456.3375943322</v>
      </c>
      <c r="G25" s="6" t="s">
        <v>134</v>
      </c>
    </row>
    <row r="26" spans="1:7" x14ac:dyDescent="0.25">
      <c r="A26" s="6" t="s">
        <v>16</v>
      </c>
      <c r="B26" s="6" t="s">
        <v>153</v>
      </c>
      <c r="C26" s="6" t="s">
        <v>157</v>
      </c>
      <c r="D26" s="6" t="s">
        <v>132</v>
      </c>
      <c r="E26" s="9">
        <v>1335.2841521638686</v>
      </c>
      <c r="F26" s="18">
        <v>1909456.3375943322</v>
      </c>
      <c r="G26" s="6" t="s">
        <v>136</v>
      </c>
    </row>
    <row r="27" spans="1:7" x14ac:dyDescent="0.25">
      <c r="A27" s="6" t="s">
        <v>16</v>
      </c>
      <c r="B27" s="6" t="s">
        <v>158</v>
      </c>
      <c r="C27" s="6" t="s">
        <v>159</v>
      </c>
      <c r="D27" s="6" t="s">
        <v>132</v>
      </c>
      <c r="E27" s="9">
        <v>1335.2841521638686</v>
      </c>
      <c r="F27" s="18">
        <v>1909456.3375943322</v>
      </c>
      <c r="G27" s="6" t="s">
        <v>136</v>
      </c>
    </row>
    <row r="28" spans="1:7" x14ac:dyDescent="0.25">
      <c r="A28" s="6" t="s">
        <v>16</v>
      </c>
      <c r="B28" s="6" t="s">
        <v>158</v>
      </c>
      <c r="C28" s="6" t="s">
        <v>160</v>
      </c>
      <c r="D28" s="6" t="s">
        <v>132</v>
      </c>
      <c r="E28" s="9">
        <v>1335.2841521638686</v>
      </c>
      <c r="F28" s="18">
        <v>1909456.3375943322</v>
      </c>
      <c r="G28" s="6" t="s">
        <v>129</v>
      </c>
    </row>
    <row r="29" spans="1:7" x14ac:dyDescent="0.25">
      <c r="A29" s="6" t="s">
        <v>16</v>
      </c>
      <c r="B29" s="6" t="s">
        <v>158</v>
      </c>
      <c r="C29" s="6" t="s">
        <v>161</v>
      </c>
      <c r="D29" s="6" t="s">
        <v>132</v>
      </c>
      <c r="E29" s="9">
        <v>1335.2841521638686</v>
      </c>
      <c r="F29" s="18">
        <v>1909456.3375943322</v>
      </c>
      <c r="G29" s="6" t="s">
        <v>129</v>
      </c>
    </row>
    <row r="30" spans="1:7" x14ac:dyDescent="0.25">
      <c r="A30" s="6" t="s">
        <v>16</v>
      </c>
      <c r="B30" s="6" t="s">
        <v>158</v>
      </c>
      <c r="C30" s="6" t="s">
        <v>162</v>
      </c>
      <c r="D30" s="6" t="s">
        <v>132</v>
      </c>
      <c r="E30" s="9">
        <v>1335.2841521638686</v>
      </c>
      <c r="F30" s="18">
        <v>1909456.3375943322</v>
      </c>
      <c r="G30" s="6" t="s">
        <v>136</v>
      </c>
    </row>
    <row r="31" spans="1:7" x14ac:dyDescent="0.25">
      <c r="A31" s="6" t="s">
        <v>16</v>
      </c>
      <c r="B31" s="6" t="s">
        <v>163</v>
      </c>
      <c r="C31" s="6" t="s">
        <v>164</v>
      </c>
      <c r="D31" s="6" t="s">
        <v>132</v>
      </c>
      <c r="E31" s="9">
        <v>1335.2841521638686</v>
      </c>
      <c r="F31" s="18">
        <v>1909456.3375943322</v>
      </c>
      <c r="G31" s="6" t="s">
        <v>136</v>
      </c>
    </row>
    <row r="32" spans="1:7" x14ac:dyDescent="0.25">
      <c r="A32" s="6" t="s">
        <v>16</v>
      </c>
      <c r="B32" s="6" t="s">
        <v>163</v>
      </c>
      <c r="C32" s="6" t="s">
        <v>165</v>
      </c>
      <c r="D32" s="6" t="s">
        <v>132</v>
      </c>
      <c r="E32" s="9">
        <v>1335.2841521638686</v>
      </c>
      <c r="F32" s="18">
        <v>1909456.3375943322</v>
      </c>
      <c r="G32" s="6" t="s">
        <v>136</v>
      </c>
    </row>
    <row r="33" spans="1:7" x14ac:dyDescent="0.25">
      <c r="A33" s="6" t="s">
        <v>16</v>
      </c>
      <c r="B33" s="6" t="s">
        <v>163</v>
      </c>
      <c r="C33" s="6" t="s">
        <v>166</v>
      </c>
      <c r="D33" s="6" t="s">
        <v>132</v>
      </c>
      <c r="E33" s="9">
        <v>1335.2841521638686</v>
      </c>
      <c r="F33" s="18">
        <v>1909456.3375943322</v>
      </c>
      <c r="G33" s="6" t="s">
        <v>129</v>
      </c>
    </row>
    <row r="34" spans="1:7" x14ac:dyDescent="0.25">
      <c r="A34" s="6" t="s">
        <v>16</v>
      </c>
      <c r="B34" s="6" t="s">
        <v>163</v>
      </c>
      <c r="C34" s="6" t="s">
        <v>167</v>
      </c>
      <c r="D34" s="6" t="s">
        <v>132</v>
      </c>
      <c r="E34" s="9">
        <v>1335.2841521638686</v>
      </c>
      <c r="F34" s="18">
        <v>1909456.3375943322</v>
      </c>
      <c r="G34" s="6" t="s">
        <v>129</v>
      </c>
    </row>
    <row r="35" spans="1:7" x14ac:dyDescent="0.25">
      <c r="A35" s="6" t="s">
        <v>16</v>
      </c>
      <c r="B35" s="6" t="s">
        <v>168</v>
      </c>
      <c r="C35" s="6" t="s">
        <v>169</v>
      </c>
      <c r="D35" s="6" t="s">
        <v>132</v>
      </c>
      <c r="E35" s="9">
        <v>1335.2841521638686</v>
      </c>
      <c r="F35" s="18">
        <v>1909456.3375943322</v>
      </c>
      <c r="G35" s="6" t="s">
        <v>129</v>
      </c>
    </row>
    <row r="36" spans="1:7" x14ac:dyDescent="0.25">
      <c r="A36" s="6" t="s">
        <v>16</v>
      </c>
      <c r="B36" s="6" t="s">
        <v>168</v>
      </c>
      <c r="C36" s="6" t="s">
        <v>170</v>
      </c>
      <c r="D36" s="6" t="s">
        <v>132</v>
      </c>
      <c r="E36" s="9">
        <v>1335.2841521638686</v>
      </c>
      <c r="F36" s="18">
        <v>1909456.3375943322</v>
      </c>
      <c r="G36" s="6" t="s">
        <v>136</v>
      </c>
    </row>
    <row r="37" spans="1:7" x14ac:dyDescent="0.25">
      <c r="A37" s="6" t="s">
        <v>16</v>
      </c>
      <c r="B37" s="6" t="s">
        <v>168</v>
      </c>
      <c r="C37" s="6" t="s">
        <v>171</v>
      </c>
      <c r="D37" s="6" t="s">
        <v>132</v>
      </c>
      <c r="E37" s="9">
        <v>1335.2841521638686</v>
      </c>
      <c r="F37" s="18">
        <v>1909456.3375943322</v>
      </c>
      <c r="G37" s="6" t="s">
        <v>136</v>
      </c>
    </row>
    <row r="38" spans="1:7" x14ac:dyDescent="0.25">
      <c r="A38" s="6" t="s">
        <v>16</v>
      </c>
      <c r="B38" s="6" t="s">
        <v>168</v>
      </c>
      <c r="C38" s="6" t="s">
        <v>172</v>
      </c>
      <c r="D38" s="6" t="s">
        <v>132</v>
      </c>
      <c r="E38" s="9">
        <v>1335.2841521638686</v>
      </c>
      <c r="F38" s="18">
        <v>1909456.3375943322</v>
      </c>
      <c r="G38" s="6" t="s">
        <v>129</v>
      </c>
    </row>
    <row r="39" spans="1:7" x14ac:dyDescent="0.25">
      <c r="A39" s="6" t="s">
        <v>16</v>
      </c>
      <c r="B39" s="6" t="s">
        <v>173</v>
      </c>
      <c r="C39" s="6" t="s">
        <v>174</v>
      </c>
      <c r="D39" s="6" t="s">
        <v>132</v>
      </c>
      <c r="E39" s="9">
        <v>1335.2841521638686</v>
      </c>
      <c r="F39" s="18">
        <v>1909456.3375943322</v>
      </c>
      <c r="G39" s="6" t="s">
        <v>134</v>
      </c>
    </row>
    <row r="40" spans="1:7" x14ac:dyDescent="0.25">
      <c r="A40" s="6" t="s">
        <v>16</v>
      </c>
      <c r="B40" s="6" t="s">
        <v>173</v>
      </c>
      <c r="C40" s="6" t="s">
        <v>175</v>
      </c>
      <c r="D40" s="6" t="s">
        <v>132</v>
      </c>
      <c r="E40" s="9">
        <v>1335.2841521638686</v>
      </c>
      <c r="F40" s="18">
        <v>1909456.3375943322</v>
      </c>
      <c r="G40" s="6" t="s">
        <v>129</v>
      </c>
    </row>
    <row r="41" spans="1:7" x14ac:dyDescent="0.25">
      <c r="A41" s="6" t="s">
        <v>16</v>
      </c>
      <c r="B41" s="6" t="s">
        <v>173</v>
      </c>
      <c r="C41" s="6" t="s">
        <v>176</v>
      </c>
      <c r="D41" s="6" t="s">
        <v>132</v>
      </c>
      <c r="E41" s="9">
        <v>1335.2841521638686</v>
      </c>
      <c r="F41" s="18">
        <v>1909456.3375943322</v>
      </c>
      <c r="G41" s="6" t="s">
        <v>129</v>
      </c>
    </row>
    <row r="42" spans="1:7" x14ac:dyDescent="0.25">
      <c r="A42" s="6" t="s">
        <v>16</v>
      </c>
      <c r="B42" s="6" t="s">
        <v>173</v>
      </c>
      <c r="C42" s="6" t="s">
        <v>177</v>
      </c>
      <c r="D42" s="6" t="s">
        <v>132</v>
      </c>
      <c r="E42" s="9">
        <v>1335.2841521638686</v>
      </c>
      <c r="F42" s="18">
        <v>1909456.3375943322</v>
      </c>
      <c r="G42" s="6" t="s">
        <v>136</v>
      </c>
    </row>
    <row r="43" spans="1:7" x14ac:dyDescent="0.25">
      <c r="A43" s="6" t="s">
        <v>16</v>
      </c>
      <c r="B43" s="6" t="s">
        <v>178</v>
      </c>
      <c r="C43" s="6" t="s">
        <v>179</v>
      </c>
      <c r="D43" s="6" t="s">
        <v>132</v>
      </c>
      <c r="E43" s="9">
        <v>1335.2841521638686</v>
      </c>
      <c r="F43" s="18">
        <v>1909456.3375943322</v>
      </c>
      <c r="G43" s="6" t="s">
        <v>129</v>
      </c>
    </row>
    <row r="44" spans="1:7" x14ac:dyDescent="0.25">
      <c r="A44" s="6" t="s">
        <v>16</v>
      </c>
      <c r="B44" s="6" t="s">
        <v>178</v>
      </c>
      <c r="C44" s="6" t="s">
        <v>180</v>
      </c>
      <c r="D44" s="6" t="s">
        <v>132</v>
      </c>
      <c r="E44" s="9">
        <v>1335.2841521638686</v>
      </c>
      <c r="F44" s="18">
        <v>1909456.3375943322</v>
      </c>
      <c r="G44" s="6" t="s">
        <v>134</v>
      </c>
    </row>
    <row r="45" spans="1:7" x14ac:dyDescent="0.25">
      <c r="A45" s="6" t="s">
        <v>16</v>
      </c>
      <c r="B45" s="6" t="s">
        <v>178</v>
      </c>
      <c r="C45" s="6" t="s">
        <v>181</v>
      </c>
      <c r="D45" s="6" t="s">
        <v>132</v>
      </c>
      <c r="E45" s="9">
        <v>1335.2841521638686</v>
      </c>
      <c r="F45" s="18">
        <v>1909456.3375943322</v>
      </c>
      <c r="G45" s="6" t="s">
        <v>136</v>
      </c>
    </row>
    <row r="46" spans="1:7" x14ac:dyDescent="0.25">
      <c r="A46" s="6" t="s">
        <v>16</v>
      </c>
      <c r="B46" s="6" t="s">
        <v>178</v>
      </c>
      <c r="C46" s="6" t="s">
        <v>182</v>
      </c>
      <c r="D46" s="6" t="s">
        <v>132</v>
      </c>
      <c r="E46" s="9">
        <v>1335.2841521638686</v>
      </c>
      <c r="F46" s="18">
        <v>1909456.3375943322</v>
      </c>
      <c r="G46" s="6" t="s">
        <v>129</v>
      </c>
    </row>
    <row r="47" spans="1:7" x14ac:dyDescent="0.25">
      <c r="A47" s="6" t="s">
        <v>16</v>
      </c>
      <c r="B47" s="6" t="s">
        <v>183</v>
      </c>
      <c r="C47" s="6" t="s">
        <v>184</v>
      </c>
      <c r="D47" s="6" t="s">
        <v>132</v>
      </c>
      <c r="E47" s="9">
        <v>1335.2841521638686</v>
      </c>
      <c r="F47" s="18">
        <v>1909456.3375943322</v>
      </c>
      <c r="G47" s="6" t="s">
        <v>136</v>
      </c>
    </row>
    <row r="48" spans="1:7" x14ac:dyDescent="0.25">
      <c r="A48" s="6" t="s">
        <v>16</v>
      </c>
      <c r="B48" s="6" t="s">
        <v>183</v>
      </c>
      <c r="C48" s="6" t="s">
        <v>185</v>
      </c>
      <c r="D48" s="6" t="s">
        <v>132</v>
      </c>
      <c r="E48" s="9">
        <v>1335.2841521638686</v>
      </c>
      <c r="F48" s="18">
        <v>1909456.3375943322</v>
      </c>
      <c r="G48" s="6" t="s">
        <v>134</v>
      </c>
    </row>
    <row r="49" spans="1:7" x14ac:dyDescent="0.25">
      <c r="A49" s="6" t="s">
        <v>16</v>
      </c>
      <c r="B49" s="6" t="s">
        <v>183</v>
      </c>
      <c r="C49" s="6" t="s">
        <v>186</v>
      </c>
      <c r="D49" s="6" t="s">
        <v>132</v>
      </c>
      <c r="E49" s="9">
        <v>1335.2841521638686</v>
      </c>
      <c r="F49" s="18">
        <v>1909456.3375943322</v>
      </c>
      <c r="G49" s="6" t="s">
        <v>129</v>
      </c>
    </row>
    <row r="50" spans="1:7" x14ac:dyDescent="0.25">
      <c r="A50" s="6" t="s">
        <v>16</v>
      </c>
      <c r="B50" s="6" t="s">
        <v>183</v>
      </c>
      <c r="C50" s="6" t="s">
        <v>187</v>
      </c>
      <c r="D50" s="6" t="s">
        <v>132</v>
      </c>
      <c r="E50" s="9">
        <v>1335.2841521638686</v>
      </c>
      <c r="F50" s="18">
        <v>1909456.3375943322</v>
      </c>
      <c r="G50" s="6" t="s">
        <v>136</v>
      </c>
    </row>
    <row r="51" spans="1:7" x14ac:dyDescent="0.25">
      <c r="A51" s="6" t="s">
        <v>16</v>
      </c>
      <c r="B51" s="6" t="s">
        <v>188</v>
      </c>
      <c r="C51" s="6" t="s">
        <v>189</v>
      </c>
      <c r="D51" s="6" t="s">
        <v>190</v>
      </c>
      <c r="E51" s="9">
        <v>3696.288310488218</v>
      </c>
      <c r="F51" s="18">
        <v>4768211.920529801</v>
      </c>
      <c r="G51" s="6" t="s">
        <v>129</v>
      </c>
    </row>
    <row r="52" spans="1:7" x14ac:dyDescent="0.25">
      <c r="A52" s="6" t="s">
        <v>16</v>
      </c>
      <c r="B52" s="6" t="s">
        <v>188</v>
      </c>
      <c r="C52" s="6" t="s">
        <v>191</v>
      </c>
      <c r="D52" s="6" t="s">
        <v>190</v>
      </c>
      <c r="E52" s="9">
        <v>3696.288310488218</v>
      </c>
      <c r="F52" s="18">
        <v>4768211.920529801</v>
      </c>
      <c r="G52" s="6" t="s">
        <v>134</v>
      </c>
    </row>
    <row r="53" spans="1:7" x14ac:dyDescent="0.25">
      <c r="A53" s="6" t="s">
        <v>16</v>
      </c>
      <c r="B53" s="6" t="s">
        <v>192</v>
      </c>
      <c r="C53" s="6" t="s">
        <v>193</v>
      </c>
      <c r="D53" s="6" t="s">
        <v>190</v>
      </c>
      <c r="E53" s="9">
        <v>3696.288310488218</v>
      </c>
      <c r="F53" s="18">
        <v>4768211.920529801</v>
      </c>
      <c r="G53" s="6" t="s">
        <v>129</v>
      </c>
    </row>
    <row r="54" spans="1:7" x14ac:dyDescent="0.25">
      <c r="A54" s="6" t="s">
        <v>16</v>
      </c>
      <c r="B54" s="6" t="s">
        <v>192</v>
      </c>
      <c r="C54" s="6" t="s">
        <v>194</v>
      </c>
      <c r="D54" s="6" t="s">
        <v>190</v>
      </c>
      <c r="E54" s="9">
        <v>3696.288310488218</v>
      </c>
      <c r="F54" s="18">
        <v>4768211.920529801</v>
      </c>
      <c r="G54" s="6" t="s">
        <v>129</v>
      </c>
    </row>
    <row r="55" spans="1:7" x14ac:dyDescent="0.25">
      <c r="A55" s="6" t="s">
        <v>16</v>
      </c>
      <c r="B55" s="6" t="s">
        <v>195</v>
      </c>
      <c r="C55" s="6" t="s">
        <v>196</v>
      </c>
      <c r="D55" s="6" t="s">
        <v>190</v>
      </c>
      <c r="E55" s="9">
        <v>3696.288310488218</v>
      </c>
      <c r="F55" s="18">
        <v>4768211.920529801</v>
      </c>
      <c r="G55" s="6" t="s">
        <v>136</v>
      </c>
    </row>
    <row r="56" spans="1:7" x14ac:dyDescent="0.25">
      <c r="A56" s="6" t="s">
        <v>16</v>
      </c>
      <c r="B56" s="6" t="s">
        <v>195</v>
      </c>
      <c r="C56" s="6" t="s">
        <v>197</v>
      </c>
      <c r="D56" s="6" t="s">
        <v>190</v>
      </c>
      <c r="E56" s="9">
        <v>3696.288310488218</v>
      </c>
      <c r="F56" s="18">
        <v>4768211.920529801</v>
      </c>
      <c r="G56" s="6" t="s">
        <v>129</v>
      </c>
    </row>
    <row r="57" spans="1:7" x14ac:dyDescent="0.25">
      <c r="A57" s="6" t="s">
        <v>16</v>
      </c>
      <c r="B57" s="6" t="s">
        <v>198</v>
      </c>
      <c r="C57" s="6" t="s">
        <v>199</v>
      </c>
      <c r="D57" s="6" t="s">
        <v>190</v>
      </c>
      <c r="E57" s="9">
        <v>3696.288310488218</v>
      </c>
      <c r="F57" s="18">
        <v>4768211.920529801</v>
      </c>
      <c r="G57" s="6" t="s">
        <v>134</v>
      </c>
    </row>
    <row r="58" spans="1:7" x14ac:dyDescent="0.25">
      <c r="A58" s="6" t="s">
        <v>16</v>
      </c>
      <c r="B58" s="6" t="s">
        <v>198</v>
      </c>
      <c r="C58" s="6" t="s">
        <v>200</v>
      </c>
      <c r="D58" s="6" t="s">
        <v>190</v>
      </c>
      <c r="E58" s="9">
        <v>3696.288310488218</v>
      </c>
      <c r="F58" s="18">
        <v>4768211.920529801</v>
      </c>
      <c r="G58" s="6" t="s">
        <v>129</v>
      </c>
    </row>
    <row r="59" spans="1:7" x14ac:dyDescent="0.25">
      <c r="A59" s="6" t="s">
        <v>16</v>
      </c>
      <c r="B59" s="6" t="s">
        <v>201</v>
      </c>
      <c r="C59" s="6" t="s">
        <v>202</v>
      </c>
      <c r="D59" s="6" t="s">
        <v>190</v>
      </c>
      <c r="E59" s="9">
        <v>3696.288310488218</v>
      </c>
      <c r="F59" s="18">
        <v>4768211.920529801</v>
      </c>
      <c r="G59" s="6" t="s">
        <v>129</v>
      </c>
    </row>
    <row r="60" spans="1:7" x14ac:dyDescent="0.25">
      <c r="A60" s="6" t="s">
        <v>16</v>
      </c>
      <c r="B60" s="6" t="s">
        <v>201</v>
      </c>
      <c r="C60" s="6" t="s">
        <v>203</v>
      </c>
      <c r="D60" s="6" t="s">
        <v>190</v>
      </c>
      <c r="E60" s="9">
        <v>3696.288310488218</v>
      </c>
      <c r="F60" s="18">
        <v>4768211.920529801</v>
      </c>
      <c r="G60" s="6" t="s">
        <v>136</v>
      </c>
    </row>
    <row r="61" spans="1:7" x14ac:dyDescent="0.25">
      <c r="A61" s="6" t="s">
        <v>16</v>
      </c>
      <c r="B61" s="6" t="s">
        <v>204</v>
      </c>
      <c r="C61" s="6" t="s">
        <v>205</v>
      </c>
      <c r="D61" s="6" t="s">
        <v>190</v>
      </c>
      <c r="E61" s="9">
        <v>3696.288310488218</v>
      </c>
      <c r="F61" s="18">
        <v>4768211.920529801</v>
      </c>
      <c r="G61" s="6" t="s">
        <v>134</v>
      </c>
    </row>
    <row r="62" spans="1:7" x14ac:dyDescent="0.25">
      <c r="A62" s="6" t="s">
        <v>16</v>
      </c>
      <c r="B62" s="6" t="s">
        <v>204</v>
      </c>
      <c r="C62" s="6" t="s">
        <v>206</v>
      </c>
      <c r="D62" s="6" t="s">
        <v>190</v>
      </c>
      <c r="E62" s="9">
        <v>3696.288310488218</v>
      </c>
      <c r="F62" s="18">
        <v>4768211.920529801</v>
      </c>
      <c r="G62" s="6" t="s">
        <v>129</v>
      </c>
    </row>
    <row r="63" spans="1:7" x14ac:dyDescent="0.25">
      <c r="A63" s="6" t="s">
        <v>16</v>
      </c>
      <c r="B63" s="6" t="s">
        <v>207</v>
      </c>
      <c r="C63" s="6" t="s">
        <v>208</v>
      </c>
      <c r="D63" s="6" t="s">
        <v>209</v>
      </c>
      <c r="E63" s="9">
        <v>3548.4367780686894</v>
      </c>
      <c r="F63" s="18">
        <v>4329092.869243801</v>
      </c>
      <c r="G63" s="6" t="s">
        <v>129</v>
      </c>
    </row>
    <row r="64" spans="1:7" x14ac:dyDescent="0.25">
      <c r="A64" s="6" t="s">
        <v>16</v>
      </c>
      <c r="B64" s="6" t="s">
        <v>207</v>
      </c>
      <c r="C64" s="6" t="s">
        <v>210</v>
      </c>
      <c r="D64" s="6" t="s">
        <v>209</v>
      </c>
      <c r="E64" s="9">
        <v>3548.4367780686894</v>
      </c>
      <c r="F64" s="18">
        <v>4329092.869243801</v>
      </c>
      <c r="G64" s="6" t="s">
        <v>129</v>
      </c>
    </row>
    <row r="65" spans="1:7" x14ac:dyDescent="0.25">
      <c r="A65" s="6" t="s">
        <v>16</v>
      </c>
      <c r="B65" s="6" t="s">
        <v>207</v>
      </c>
      <c r="C65" s="6" t="s">
        <v>211</v>
      </c>
      <c r="D65" s="6" t="s">
        <v>209</v>
      </c>
      <c r="E65" s="9">
        <v>3548.4367780686894</v>
      </c>
      <c r="F65" s="18">
        <v>4329092.869243801</v>
      </c>
      <c r="G65" s="6" t="s">
        <v>136</v>
      </c>
    </row>
    <row r="66" spans="1:7" x14ac:dyDescent="0.25">
      <c r="A66" s="10" t="s">
        <v>212</v>
      </c>
      <c r="B66" s="10"/>
      <c r="C66" s="10" t="s">
        <v>213</v>
      </c>
      <c r="D66" s="10"/>
      <c r="E66" s="13">
        <f>SUM(E6:E65)</f>
        <v>120000.00000000004</v>
      </c>
      <c r="F66" s="19">
        <f>SUM(F6:F65)</f>
        <v>167215093.17726776</v>
      </c>
      <c r="G66" s="10" t="s">
        <v>214</v>
      </c>
    </row>
    <row r="68" spans="1:7" x14ac:dyDescent="0.25">
      <c r="A68" s="6" t="s">
        <v>17</v>
      </c>
      <c r="B68" s="6" t="s">
        <v>215</v>
      </c>
      <c r="C68" s="6" t="s">
        <v>216</v>
      </c>
      <c r="D68" s="6" t="s">
        <v>128</v>
      </c>
      <c r="E68" s="9">
        <v>13339.98072661278</v>
      </c>
      <c r="F68" s="18">
        <v>42954737.93969315</v>
      </c>
      <c r="G68" s="6" t="s">
        <v>129</v>
      </c>
    </row>
    <row r="69" spans="1:7" x14ac:dyDescent="0.25">
      <c r="A69" s="6" t="s">
        <v>17</v>
      </c>
      <c r="B69" s="6" t="s">
        <v>217</v>
      </c>
      <c r="C69" s="6" t="s">
        <v>218</v>
      </c>
      <c r="D69" s="6" t="s">
        <v>132</v>
      </c>
      <c r="E69" s="9">
        <v>1237.2194744303358</v>
      </c>
      <c r="F69" s="18">
        <v>2053784.3275543575</v>
      </c>
      <c r="G69" s="6" t="s">
        <v>129</v>
      </c>
    </row>
    <row r="70" spans="1:7" x14ac:dyDescent="0.25">
      <c r="A70" s="6" t="s">
        <v>17</v>
      </c>
      <c r="B70" s="6" t="s">
        <v>217</v>
      </c>
      <c r="C70" s="6" t="s">
        <v>219</v>
      </c>
      <c r="D70" s="6" t="s">
        <v>132</v>
      </c>
      <c r="E70" s="9">
        <v>1237.2194744303358</v>
      </c>
      <c r="F70" s="18">
        <v>2053784.3275543575</v>
      </c>
      <c r="G70" s="6" t="s">
        <v>129</v>
      </c>
    </row>
    <row r="71" spans="1:7" x14ac:dyDescent="0.25">
      <c r="A71" s="6" t="s">
        <v>17</v>
      </c>
      <c r="B71" s="6" t="s">
        <v>217</v>
      </c>
      <c r="C71" s="6" t="s">
        <v>220</v>
      </c>
      <c r="D71" s="6" t="s">
        <v>132</v>
      </c>
      <c r="E71" s="9">
        <v>1237.2194744303358</v>
      </c>
      <c r="F71" s="18">
        <v>2053784.3275543575</v>
      </c>
      <c r="G71" s="6" t="s">
        <v>134</v>
      </c>
    </row>
    <row r="72" spans="1:7" x14ac:dyDescent="0.25">
      <c r="A72" s="6" t="s">
        <v>17</v>
      </c>
      <c r="B72" s="6" t="s">
        <v>217</v>
      </c>
      <c r="C72" s="6" t="s">
        <v>221</v>
      </c>
      <c r="D72" s="6" t="s">
        <v>132</v>
      </c>
      <c r="E72" s="9">
        <v>1237.2194744303358</v>
      </c>
      <c r="F72" s="18">
        <v>2053784.3275543575</v>
      </c>
      <c r="G72" s="6" t="s">
        <v>136</v>
      </c>
    </row>
    <row r="73" spans="1:7" x14ac:dyDescent="0.25">
      <c r="A73" s="6" t="s">
        <v>17</v>
      </c>
      <c r="B73" s="6" t="s">
        <v>222</v>
      </c>
      <c r="C73" s="6" t="s">
        <v>223</v>
      </c>
      <c r="D73" s="6" t="s">
        <v>132</v>
      </c>
      <c r="E73" s="9">
        <v>1237.2194744303358</v>
      </c>
      <c r="F73" s="18">
        <v>2053784.3275543575</v>
      </c>
      <c r="G73" s="6" t="s">
        <v>129</v>
      </c>
    </row>
    <row r="74" spans="1:7" x14ac:dyDescent="0.25">
      <c r="A74" s="6" t="s">
        <v>17</v>
      </c>
      <c r="B74" s="6" t="s">
        <v>222</v>
      </c>
      <c r="C74" s="6" t="s">
        <v>224</v>
      </c>
      <c r="D74" s="6" t="s">
        <v>132</v>
      </c>
      <c r="E74" s="9">
        <v>1237.2194744303358</v>
      </c>
      <c r="F74" s="18">
        <v>2053784.3275543575</v>
      </c>
      <c r="G74" s="6" t="s">
        <v>129</v>
      </c>
    </row>
    <row r="75" spans="1:7" x14ac:dyDescent="0.25">
      <c r="A75" s="6" t="s">
        <v>17</v>
      </c>
      <c r="B75" s="6" t="s">
        <v>222</v>
      </c>
      <c r="C75" s="6" t="s">
        <v>225</v>
      </c>
      <c r="D75" s="6" t="s">
        <v>132</v>
      </c>
      <c r="E75" s="9">
        <v>1237.2194744303358</v>
      </c>
      <c r="F75" s="18">
        <v>2053784.3275543575</v>
      </c>
      <c r="G75" s="6" t="s">
        <v>136</v>
      </c>
    </row>
    <row r="76" spans="1:7" x14ac:dyDescent="0.25">
      <c r="A76" s="6" t="s">
        <v>17</v>
      </c>
      <c r="B76" s="6" t="s">
        <v>222</v>
      </c>
      <c r="C76" s="6" t="s">
        <v>226</v>
      </c>
      <c r="D76" s="6" t="s">
        <v>132</v>
      </c>
      <c r="E76" s="9">
        <v>1237.2194744303358</v>
      </c>
      <c r="F76" s="18">
        <v>2053784.3275543575</v>
      </c>
      <c r="G76" s="6" t="s">
        <v>136</v>
      </c>
    </row>
    <row r="77" spans="1:7" x14ac:dyDescent="0.25">
      <c r="A77" s="6" t="s">
        <v>17</v>
      </c>
      <c r="B77" s="6" t="s">
        <v>227</v>
      </c>
      <c r="C77" s="6" t="s">
        <v>228</v>
      </c>
      <c r="D77" s="6" t="s">
        <v>132</v>
      </c>
      <c r="E77" s="9">
        <v>1237.2194744303358</v>
      </c>
      <c r="F77" s="18">
        <v>2053784.3275543575</v>
      </c>
      <c r="G77" s="6" t="s">
        <v>129</v>
      </c>
    </row>
    <row r="78" spans="1:7" x14ac:dyDescent="0.25">
      <c r="A78" s="6" t="s">
        <v>17</v>
      </c>
      <c r="B78" s="6" t="s">
        <v>227</v>
      </c>
      <c r="C78" s="6" t="s">
        <v>229</v>
      </c>
      <c r="D78" s="6" t="s">
        <v>132</v>
      </c>
      <c r="E78" s="9">
        <v>1237.2194744303358</v>
      </c>
      <c r="F78" s="18">
        <v>2053784.3275543575</v>
      </c>
      <c r="G78" s="6" t="s">
        <v>129</v>
      </c>
    </row>
    <row r="79" spans="1:7" x14ac:dyDescent="0.25">
      <c r="A79" s="6" t="s">
        <v>17</v>
      </c>
      <c r="B79" s="6" t="s">
        <v>227</v>
      </c>
      <c r="C79" s="6" t="s">
        <v>230</v>
      </c>
      <c r="D79" s="6" t="s">
        <v>132</v>
      </c>
      <c r="E79" s="9">
        <v>1237.2194744303358</v>
      </c>
      <c r="F79" s="18">
        <v>2053784.3275543575</v>
      </c>
      <c r="G79" s="6" t="s">
        <v>134</v>
      </c>
    </row>
    <row r="80" spans="1:7" x14ac:dyDescent="0.25">
      <c r="A80" s="6" t="s">
        <v>17</v>
      </c>
      <c r="B80" s="6" t="s">
        <v>227</v>
      </c>
      <c r="C80" s="6" t="s">
        <v>231</v>
      </c>
      <c r="D80" s="6" t="s">
        <v>132</v>
      </c>
      <c r="E80" s="9">
        <v>1237.2194744303358</v>
      </c>
      <c r="F80" s="18">
        <v>2053784.3275543575</v>
      </c>
      <c r="G80" s="6" t="s">
        <v>136</v>
      </c>
    </row>
    <row r="81" spans="1:7" x14ac:dyDescent="0.25">
      <c r="A81" s="6" t="s">
        <v>17</v>
      </c>
      <c r="B81" s="6" t="s">
        <v>232</v>
      </c>
      <c r="C81" s="6" t="s">
        <v>233</v>
      </c>
      <c r="D81" s="6" t="s">
        <v>132</v>
      </c>
      <c r="E81" s="9">
        <v>1237.2194744303358</v>
      </c>
      <c r="F81" s="18">
        <v>2053784.3275543575</v>
      </c>
      <c r="G81" s="6" t="s">
        <v>136</v>
      </c>
    </row>
    <row r="82" spans="1:7" x14ac:dyDescent="0.25">
      <c r="A82" s="6" t="s">
        <v>17</v>
      </c>
      <c r="B82" s="6" t="s">
        <v>232</v>
      </c>
      <c r="C82" s="6" t="s">
        <v>234</v>
      </c>
      <c r="D82" s="6" t="s">
        <v>132</v>
      </c>
      <c r="E82" s="9">
        <v>1237.2194744303358</v>
      </c>
      <c r="F82" s="18">
        <v>2053784.3275543575</v>
      </c>
      <c r="G82" s="6" t="s">
        <v>136</v>
      </c>
    </row>
    <row r="83" spans="1:7" x14ac:dyDescent="0.25">
      <c r="A83" s="6" t="s">
        <v>17</v>
      </c>
      <c r="B83" s="6" t="s">
        <v>232</v>
      </c>
      <c r="C83" s="6" t="s">
        <v>235</v>
      </c>
      <c r="D83" s="6" t="s">
        <v>132</v>
      </c>
      <c r="E83" s="9">
        <v>1237.2194744303358</v>
      </c>
      <c r="F83" s="18">
        <v>2053784.3275543575</v>
      </c>
      <c r="G83" s="6" t="s">
        <v>129</v>
      </c>
    </row>
    <row r="84" spans="1:7" x14ac:dyDescent="0.25">
      <c r="A84" s="6" t="s">
        <v>17</v>
      </c>
      <c r="B84" s="6" t="s">
        <v>232</v>
      </c>
      <c r="C84" s="6" t="s">
        <v>236</v>
      </c>
      <c r="D84" s="6" t="s">
        <v>132</v>
      </c>
      <c r="E84" s="9">
        <v>1237.2194744303358</v>
      </c>
      <c r="F84" s="18">
        <v>2053784.3275543575</v>
      </c>
      <c r="G84" s="6" t="s">
        <v>129</v>
      </c>
    </row>
    <row r="85" spans="1:7" x14ac:dyDescent="0.25">
      <c r="A85" s="6" t="s">
        <v>17</v>
      </c>
      <c r="B85" s="6" t="s">
        <v>237</v>
      </c>
      <c r="C85" s="6" t="s">
        <v>238</v>
      </c>
      <c r="D85" s="6" t="s">
        <v>132</v>
      </c>
      <c r="E85" s="9">
        <v>1237.2194744303358</v>
      </c>
      <c r="F85" s="18">
        <v>2053784.3275543575</v>
      </c>
      <c r="G85" s="6" t="s">
        <v>129</v>
      </c>
    </row>
    <row r="86" spans="1:7" x14ac:dyDescent="0.25">
      <c r="A86" s="6" t="s">
        <v>17</v>
      </c>
      <c r="B86" s="6" t="s">
        <v>237</v>
      </c>
      <c r="C86" s="6" t="s">
        <v>239</v>
      </c>
      <c r="D86" s="6" t="s">
        <v>132</v>
      </c>
      <c r="E86" s="9">
        <v>1237.2194744303358</v>
      </c>
      <c r="F86" s="18">
        <v>2053784.3275543575</v>
      </c>
      <c r="G86" s="6" t="s">
        <v>136</v>
      </c>
    </row>
    <row r="87" spans="1:7" x14ac:dyDescent="0.25">
      <c r="A87" s="6" t="s">
        <v>17</v>
      </c>
      <c r="B87" s="6" t="s">
        <v>237</v>
      </c>
      <c r="C87" s="6" t="s">
        <v>240</v>
      </c>
      <c r="D87" s="6" t="s">
        <v>132</v>
      </c>
      <c r="E87" s="9">
        <v>1237.2194744303358</v>
      </c>
      <c r="F87" s="18">
        <v>2053784.3275543575</v>
      </c>
      <c r="G87" s="6" t="s">
        <v>136</v>
      </c>
    </row>
    <row r="88" spans="1:7" x14ac:dyDescent="0.25">
      <c r="A88" s="6" t="s">
        <v>17</v>
      </c>
      <c r="B88" s="6" t="s">
        <v>237</v>
      </c>
      <c r="C88" s="6" t="s">
        <v>241</v>
      </c>
      <c r="D88" s="6" t="s">
        <v>132</v>
      </c>
      <c r="E88" s="9">
        <v>1237.2194744303358</v>
      </c>
      <c r="F88" s="18">
        <v>2053784.3275543575</v>
      </c>
      <c r="G88" s="6" t="s">
        <v>129</v>
      </c>
    </row>
    <row r="89" spans="1:7" x14ac:dyDescent="0.25">
      <c r="A89" s="6" t="s">
        <v>17</v>
      </c>
      <c r="B89" s="6" t="s">
        <v>242</v>
      </c>
      <c r="C89" s="6" t="s">
        <v>243</v>
      </c>
      <c r="D89" s="6" t="s">
        <v>132</v>
      </c>
      <c r="E89" s="9">
        <v>1237.2194744303358</v>
      </c>
      <c r="F89" s="18">
        <v>2053784.3275543575</v>
      </c>
      <c r="G89" s="6" t="s">
        <v>129</v>
      </c>
    </row>
    <row r="90" spans="1:7" x14ac:dyDescent="0.25">
      <c r="A90" s="6" t="s">
        <v>17</v>
      </c>
      <c r="B90" s="6" t="s">
        <v>242</v>
      </c>
      <c r="C90" s="6" t="s">
        <v>244</v>
      </c>
      <c r="D90" s="6" t="s">
        <v>132</v>
      </c>
      <c r="E90" s="9">
        <v>1237.2194744303358</v>
      </c>
      <c r="F90" s="18">
        <v>2053784.3275543575</v>
      </c>
      <c r="G90" s="6" t="s">
        <v>129</v>
      </c>
    </row>
    <row r="91" spans="1:7" x14ac:dyDescent="0.25">
      <c r="A91" s="6" t="s">
        <v>17</v>
      </c>
      <c r="B91" s="6" t="s">
        <v>242</v>
      </c>
      <c r="C91" s="6" t="s">
        <v>245</v>
      </c>
      <c r="D91" s="6" t="s">
        <v>132</v>
      </c>
      <c r="E91" s="9">
        <v>1237.2194744303358</v>
      </c>
      <c r="F91" s="18">
        <v>2053784.3275543575</v>
      </c>
      <c r="G91" s="6" t="s">
        <v>136</v>
      </c>
    </row>
    <row r="92" spans="1:7" x14ac:dyDescent="0.25">
      <c r="A92" s="6" t="s">
        <v>17</v>
      </c>
      <c r="B92" s="6" t="s">
        <v>242</v>
      </c>
      <c r="C92" s="6" t="s">
        <v>246</v>
      </c>
      <c r="D92" s="6" t="s">
        <v>132</v>
      </c>
      <c r="E92" s="9">
        <v>1237.2194744303358</v>
      </c>
      <c r="F92" s="18">
        <v>2053784.3275543575</v>
      </c>
      <c r="G92" s="6" t="s">
        <v>136</v>
      </c>
    </row>
    <row r="93" spans="1:7" x14ac:dyDescent="0.25">
      <c r="A93" s="6" t="s">
        <v>17</v>
      </c>
      <c r="B93" s="6" t="s">
        <v>247</v>
      </c>
      <c r="C93" s="6" t="s">
        <v>248</v>
      </c>
      <c r="D93" s="6" t="s">
        <v>132</v>
      </c>
      <c r="E93" s="9">
        <v>1237.2194744303358</v>
      </c>
      <c r="F93" s="18">
        <v>2053784.3275543575</v>
      </c>
      <c r="G93" s="6" t="s">
        <v>136</v>
      </c>
    </row>
    <row r="94" spans="1:7" x14ac:dyDescent="0.25">
      <c r="A94" s="6" t="s">
        <v>17</v>
      </c>
      <c r="B94" s="6" t="s">
        <v>247</v>
      </c>
      <c r="C94" s="6" t="s">
        <v>249</v>
      </c>
      <c r="D94" s="6" t="s">
        <v>132</v>
      </c>
      <c r="E94" s="9">
        <v>1237.2194744303358</v>
      </c>
      <c r="F94" s="18">
        <v>2053784.3275543575</v>
      </c>
      <c r="G94" s="6" t="s">
        <v>136</v>
      </c>
    </row>
    <row r="95" spans="1:7" x14ac:dyDescent="0.25">
      <c r="A95" s="6" t="s">
        <v>17</v>
      </c>
      <c r="B95" s="6" t="s">
        <v>247</v>
      </c>
      <c r="C95" s="6" t="s">
        <v>250</v>
      </c>
      <c r="D95" s="6" t="s">
        <v>132</v>
      </c>
      <c r="E95" s="9">
        <v>1237.2194744303358</v>
      </c>
      <c r="F95" s="18">
        <v>2053784.3275543575</v>
      </c>
      <c r="G95" s="6" t="s">
        <v>129</v>
      </c>
    </row>
    <row r="96" spans="1:7" x14ac:dyDescent="0.25">
      <c r="A96" s="6" t="s">
        <v>17</v>
      </c>
      <c r="B96" s="6" t="s">
        <v>247</v>
      </c>
      <c r="C96" s="6" t="s">
        <v>251</v>
      </c>
      <c r="D96" s="6" t="s">
        <v>132</v>
      </c>
      <c r="E96" s="9">
        <v>1237.2194744303358</v>
      </c>
      <c r="F96" s="18">
        <v>2053784.3275543575</v>
      </c>
      <c r="G96" s="6" t="s">
        <v>129</v>
      </c>
    </row>
    <row r="97" spans="1:7" x14ac:dyDescent="0.25">
      <c r="A97" s="6" t="s">
        <v>17</v>
      </c>
      <c r="B97" s="6" t="s">
        <v>252</v>
      </c>
      <c r="C97" s="6" t="s">
        <v>253</v>
      </c>
      <c r="D97" s="6" t="s">
        <v>132</v>
      </c>
      <c r="E97" s="9">
        <v>1237.2194744303358</v>
      </c>
      <c r="F97" s="18">
        <v>2053784.3275543575</v>
      </c>
      <c r="G97" s="6" t="s">
        <v>129</v>
      </c>
    </row>
    <row r="98" spans="1:7" x14ac:dyDescent="0.25">
      <c r="A98" s="6" t="s">
        <v>17</v>
      </c>
      <c r="B98" s="6" t="s">
        <v>252</v>
      </c>
      <c r="C98" s="6" t="s">
        <v>254</v>
      </c>
      <c r="D98" s="6" t="s">
        <v>132</v>
      </c>
      <c r="E98" s="9">
        <v>1237.2194744303358</v>
      </c>
      <c r="F98" s="18">
        <v>2053784.3275543575</v>
      </c>
      <c r="G98" s="6" t="s">
        <v>134</v>
      </c>
    </row>
    <row r="99" spans="1:7" x14ac:dyDescent="0.25">
      <c r="A99" s="6" t="s">
        <v>17</v>
      </c>
      <c r="B99" s="6" t="s">
        <v>252</v>
      </c>
      <c r="C99" s="6" t="s">
        <v>255</v>
      </c>
      <c r="D99" s="6" t="s">
        <v>132</v>
      </c>
      <c r="E99" s="9">
        <v>1237.2194744303358</v>
      </c>
      <c r="F99" s="18">
        <v>2053784.3275543575</v>
      </c>
      <c r="G99" s="6" t="s">
        <v>136</v>
      </c>
    </row>
    <row r="100" spans="1:7" x14ac:dyDescent="0.25">
      <c r="A100" s="6" t="s">
        <v>17</v>
      </c>
      <c r="B100" s="6" t="s">
        <v>252</v>
      </c>
      <c r="C100" s="6" t="s">
        <v>256</v>
      </c>
      <c r="D100" s="6" t="s">
        <v>132</v>
      </c>
      <c r="E100" s="9">
        <v>1237.2194744303358</v>
      </c>
      <c r="F100" s="18">
        <v>2053784.3275543575</v>
      </c>
      <c r="G100" s="6" t="s">
        <v>129</v>
      </c>
    </row>
    <row r="101" spans="1:7" x14ac:dyDescent="0.25">
      <c r="A101" s="6" t="s">
        <v>17</v>
      </c>
      <c r="B101" s="6" t="s">
        <v>257</v>
      </c>
      <c r="C101" s="6" t="s">
        <v>258</v>
      </c>
      <c r="D101" s="6" t="s">
        <v>132</v>
      </c>
      <c r="E101" s="9">
        <v>1237.2194744303358</v>
      </c>
      <c r="F101" s="18">
        <v>2053784.3275543575</v>
      </c>
      <c r="G101" s="6" t="s">
        <v>136</v>
      </c>
    </row>
    <row r="102" spans="1:7" x14ac:dyDescent="0.25">
      <c r="A102" s="6" t="s">
        <v>17</v>
      </c>
      <c r="B102" s="6" t="s">
        <v>257</v>
      </c>
      <c r="C102" s="6" t="s">
        <v>259</v>
      </c>
      <c r="D102" s="6" t="s">
        <v>132</v>
      </c>
      <c r="E102" s="9">
        <v>1237.2194744303358</v>
      </c>
      <c r="F102" s="18">
        <v>2053784.3275543575</v>
      </c>
      <c r="G102" s="6" t="s">
        <v>136</v>
      </c>
    </row>
    <row r="103" spans="1:7" x14ac:dyDescent="0.25">
      <c r="A103" s="6" t="s">
        <v>17</v>
      </c>
      <c r="B103" s="6" t="s">
        <v>257</v>
      </c>
      <c r="C103" s="6" t="s">
        <v>260</v>
      </c>
      <c r="D103" s="6" t="s">
        <v>132</v>
      </c>
      <c r="E103" s="9">
        <v>1237.2194744303358</v>
      </c>
      <c r="F103" s="18">
        <v>2053784.3275543575</v>
      </c>
      <c r="G103" s="6" t="s">
        <v>129</v>
      </c>
    </row>
    <row r="104" spans="1:7" x14ac:dyDescent="0.25">
      <c r="A104" s="6" t="s">
        <v>17</v>
      </c>
      <c r="B104" s="6" t="s">
        <v>257</v>
      </c>
      <c r="C104" s="6" t="s">
        <v>261</v>
      </c>
      <c r="D104" s="6" t="s">
        <v>132</v>
      </c>
      <c r="E104" s="9">
        <v>1237.2194744303358</v>
      </c>
      <c r="F104" s="18">
        <v>2053784.3275543575</v>
      </c>
      <c r="G104" s="6" t="s">
        <v>129</v>
      </c>
    </row>
    <row r="105" spans="1:7" x14ac:dyDescent="0.25">
      <c r="A105" s="6" t="s">
        <v>17</v>
      </c>
      <c r="B105" s="6" t="s">
        <v>130</v>
      </c>
      <c r="C105" s="6" t="s">
        <v>262</v>
      </c>
      <c r="D105" s="6" t="s">
        <v>132</v>
      </c>
      <c r="E105" s="9">
        <v>1237.2194744303358</v>
      </c>
      <c r="F105" s="18">
        <v>2053784.3275543575</v>
      </c>
      <c r="G105" s="6" t="s">
        <v>136</v>
      </c>
    </row>
    <row r="106" spans="1:7" x14ac:dyDescent="0.25">
      <c r="A106" s="6" t="s">
        <v>17</v>
      </c>
      <c r="B106" s="6" t="s">
        <v>130</v>
      </c>
      <c r="C106" s="6" t="s">
        <v>263</v>
      </c>
      <c r="D106" s="6" t="s">
        <v>132</v>
      </c>
      <c r="E106" s="9">
        <v>1237.2194744303358</v>
      </c>
      <c r="F106" s="18">
        <v>2053784.3275543575</v>
      </c>
      <c r="G106" s="6" t="s">
        <v>136</v>
      </c>
    </row>
    <row r="107" spans="1:7" x14ac:dyDescent="0.25">
      <c r="A107" s="6" t="s">
        <v>17</v>
      </c>
      <c r="B107" s="6" t="s">
        <v>130</v>
      </c>
      <c r="C107" s="6" t="s">
        <v>264</v>
      </c>
      <c r="D107" s="6" t="s">
        <v>132</v>
      </c>
      <c r="E107" s="9">
        <v>1237.2194744303358</v>
      </c>
      <c r="F107" s="18">
        <v>2053784.3275543575</v>
      </c>
      <c r="G107" s="6" t="s">
        <v>129</v>
      </c>
    </row>
    <row r="108" spans="1:7" x14ac:dyDescent="0.25">
      <c r="A108" s="6" t="s">
        <v>17</v>
      </c>
      <c r="B108" s="6" t="s">
        <v>130</v>
      </c>
      <c r="C108" s="6" t="s">
        <v>265</v>
      </c>
      <c r="D108" s="6" t="s">
        <v>132</v>
      </c>
      <c r="E108" s="9">
        <v>1237.2194744303358</v>
      </c>
      <c r="F108" s="18">
        <v>2053784.3275543575</v>
      </c>
      <c r="G108" s="6" t="s">
        <v>129</v>
      </c>
    </row>
    <row r="109" spans="1:7" x14ac:dyDescent="0.25">
      <c r="A109" s="6" t="s">
        <v>17</v>
      </c>
      <c r="B109" s="6" t="s">
        <v>138</v>
      </c>
      <c r="C109" s="6" t="s">
        <v>266</v>
      </c>
      <c r="D109" s="6" t="s">
        <v>132</v>
      </c>
      <c r="E109" s="9">
        <v>1237.2194744303358</v>
      </c>
      <c r="F109" s="18">
        <v>2053784.3275543575</v>
      </c>
      <c r="G109" s="6" t="s">
        <v>134</v>
      </c>
    </row>
    <row r="110" spans="1:7" x14ac:dyDescent="0.25">
      <c r="A110" s="6" t="s">
        <v>17</v>
      </c>
      <c r="B110" s="6" t="s">
        <v>138</v>
      </c>
      <c r="C110" s="6" t="s">
        <v>267</v>
      </c>
      <c r="D110" s="6" t="s">
        <v>132</v>
      </c>
      <c r="E110" s="9">
        <v>1237.2194744303358</v>
      </c>
      <c r="F110" s="18">
        <v>2053784.3275543575</v>
      </c>
      <c r="G110" s="6" t="s">
        <v>129</v>
      </c>
    </row>
    <row r="111" spans="1:7" x14ac:dyDescent="0.25">
      <c r="A111" s="6" t="s">
        <v>17</v>
      </c>
      <c r="B111" s="6" t="s">
        <v>138</v>
      </c>
      <c r="C111" s="6" t="s">
        <v>268</v>
      </c>
      <c r="D111" s="6" t="s">
        <v>132</v>
      </c>
      <c r="E111" s="9">
        <v>1237.2194744303358</v>
      </c>
      <c r="F111" s="18">
        <v>2053784.3275543575</v>
      </c>
      <c r="G111" s="6" t="s">
        <v>129</v>
      </c>
    </row>
    <row r="112" spans="1:7" x14ac:dyDescent="0.25">
      <c r="A112" s="6" t="s">
        <v>17</v>
      </c>
      <c r="B112" s="6" t="s">
        <v>138</v>
      </c>
      <c r="C112" s="6" t="s">
        <v>269</v>
      </c>
      <c r="D112" s="6" t="s">
        <v>132</v>
      </c>
      <c r="E112" s="9">
        <v>1237.2194744303358</v>
      </c>
      <c r="F112" s="18">
        <v>2053784.3275543575</v>
      </c>
      <c r="G112" s="6" t="s">
        <v>136</v>
      </c>
    </row>
    <row r="113" spans="1:7" x14ac:dyDescent="0.25">
      <c r="A113" s="6" t="s">
        <v>17</v>
      </c>
      <c r="B113" s="6" t="s">
        <v>143</v>
      </c>
      <c r="C113" s="6" t="s">
        <v>270</v>
      </c>
      <c r="D113" s="6" t="s">
        <v>132</v>
      </c>
      <c r="E113" s="9">
        <v>1237.2194744303358</v>
      </c>
      <c r="F113" s="18">
        <v>2053784.3275543575</v>
      </c>
      <c r="G113" s="6" t="s">
        <v>129</v>
      </c>
    </row>
    <row r="114" spans="1:7" x14ac:dyDescent="0.25">
      <c r="A114" s="6" t="s">
        <v>17</v>
      </c>
      <c r="B114" s="6" t="s">
        <v>143</v>
      </c>
      <c r="C114" s="6" t="s">
        <v>271</v>
      </c>
      <c r="D114" s="6" t="s">
        <v>132</v>
      </c>
      <c r="E114" s="9">
        <v>1237.2194744303358</v>
      </c>
      <c r="F114" s="18">
        <v>2053784.3275543575</v>
      </c>
      <c r="G114" s="6" t="s">
        <v>134</v>
      </c>
    </row>
    <row r="115" spans="1:7" x14ac:dyDescent="0.25">
      <c r="A115" s="6" t="s">
        <v>17</v>
      </c>
      <c r="B115" s="6" t="s">
        <v>143</v>
      </c>
      <c r="C115" s="6" t="s">
        <v>272</v>
      </c>
      <c r="D115" s="6" t="s">
        <v>132</v>
      </c>
      <c r="E115" s="9">
        <v>1237.2194744303358</v>
      </c>
      <c r="F115" s="18">
        <v>2053784.3275543575</v>
      </c>
      <c r="G115" s="6" t="s">
        <v>136</v>
      </c>
    </row>
    <row r="116" spans="1:7" x14ac:dyDescent="0.25">
      <c r="A116" s="6" t="s">
        <v>17</v>
      </c>
      <c r="B116" s="6" t="s">
        <v>143</v>
      </c>
      <c r="C116" s="6" t="s">
        <v>273</v>
      </c>
      <c r="D116" s="6" t="s">
        <v>132</v>
      </c>
      <c r="E116" s="9">
        <v>1237.2194744303358</v>
      </c>
      <c r="F116" s="18">
        <v>2053784.3275543575</v>
      </c>
      <c r="G116" s="6" t="s">
        <v>129</v>
      </c>
    </row>
    <row r="117" spans="1:7" x14ac:dyDescent="0.25">
      <c r="A117" s="6" t="s">
        <v>17</v>
      </c>
      <c r="B117" s="6" t="s">
        <v>148</v>
      </c>
      <c r="C117" s="6" t="s">
        <v>274</v>
      </c>
      <c r="D117" s="6" t="s">
        <v>132</v>
      </c>
      <c r="E117" s="9">
        <v>1237.2194744303358</v>
      </c>
      <c r="F117" s="18">
        <v>2053784.3275543575</v>
      </c>
      <c r="G117" s="6" t="s">
        <v>129</v>
      </c>
    </row>
    <row r="118" spans="1:7" x14ac:dyDescent="0.25">
      <c r="A118" s="6" t="s">
        <v>17</v>
      </c>
      <c r="B118" s="6" t="s">
        <v>148</v>
      </c>
      <c r="C118" s="6" t="s">
        <v>275</v>
      </c>
      <c r="D118" s="6" t="s">
        <v>132</v>
      </c>
      <c r="E118" s="9">
        <v>1237.2194744303358</v>
      </c>
      <c r="F118" s="18">
        <v>2053784.3275543575</v>
      </c>
      <c r="G118" s="6" t="s">
        <v>136</v>
      </c>
    </row>
    <row r="119" spans="1:7" x14ac:dyDescent="0.25">
      <c r="A119" s="6" t="s">
        <v>17</v>
      </c>
      <c r="B119" s="6" t="s">
        <v>148</v>
      </c>
      <c r="C119" s="6" t="s">
        <v>276</v>
      </c>
      <c r="D119" s="6" t="s">
        <v>132</v>
      </c>
      <c r="E119" s="9">
        <v>1237.2194744303358</v>
      </c>
      <c r="F119" s="18">
        <v>2053784.3275543575</v>
      </c>
      <c r="G119" s="6" t="s">
        <v>134</v>
      </c>
    </row>
    <row r="120" spans="1:7" x14ac:dyDescent="0.25">
      <c r="A120" s="6" t="s">
        <v>17</v>
      </c>
      <c r="B120" s="6" t="s">
        <v>148</v>
      </c>
      <c r="C120" s="6" t="s">
        <v>277</v>
      </c>
      <c r="D120" s="6" t="s">
        <v>132</v>
      </c>
      <c r="E120" s="9">
        <v>1237.2194744303358</v>
      </c>
      <c r="F120" s="18">
        <v>2053784.3275543575</v>
      </c>
      <c r="G120" s="6" t="s">
        <v>129</v>
      </c>
    </row>
    <row r="121" spans="1:7" x14ac:dyDescent="0.25">
      <c r="A121" s="6" t="s">
        <v>17</v>
      </c>
      <c r="B121" s="6" t="s">
        <v>153</v>
      </c>
      <c r="C121" s="6" t="s">
        <v>278</v>
      </c>
      <c r="D121" s="6" t="s">
        <v>132</v>
      </c>
      <c r="E121" s="9">
        <v>1237.2194744303358</v>
      </c>
      <c r="F121" s="18">
        <v>2053784.3275543575</v>
      </c>
      <c r="G121" s="6" t="s">
        <v>136</v>
      </c>
    </row>
    <row r="122" spans="1:7" x14ac:dyDescent="0.25">
      <c r="A122" s="6" t="s">
        <v>17</v>
      </c>
      <c r="B122" s="6" t="s">
        <v>153</v>
      </c>
      <c r="C122" s="6" t="s">
        <v>279</v>
      </c>
      <c r="D122" s="6" t="s">
        <v>132</v>
      </c>
      <c r="E122" s="9">
        <v>1237.2194744303358</v>
      </c>
      <c r="F122" s="18">
        <v>2053784.3275543575</v>
      </c>
      <c r="G122" s="6" t="s">
        <v>129</v>
      </c>
    </row>
    <row r="123" spans="1:7" x14ac:dyDescent="0.25">
      <c r="A123" s="6" t="s">
        <v>17</v>
      </c>
      <c r="B123" s="6" t="s">
        <v>153</v>
      </c>
      <c r="C123" s="6" t="s">
        <v>280</v>
      </c>
      <c r="D123" s="6" t="s">
        <v>132</v>
      </c>
      <c r="E123" s="9">
        <v>1237.2194744303358</v>
      </c>
      <c r="F123" s="18">
        <v>2053784.3275543575</v>
      </c>
      <c r="G123" s="6" t="s">
        <v>129</v>
      </c>
    </row>
    <row r="124" spans="1:7" x14ac:dyDescent="0.25">
      <c r="A124" s="6" t="s">
        <v>17</v>
      </c>
      <c r="B124" s="6" t="s">
        <v>153</v>
      </c>
      <c r="C124" s="6" t="s">
        <v>281</v>
      </c>
      <c r="D124" s="6" t="s">
        <v>132</v>
      </c>
      <c r="E124" s="9">
        <v>1237.2194744303358</v>
      </c>
      <c r="F124" s="18">
        <v>2053784.3275543575</v>
      </c>
      <c r="G124" s="6" t="s">
        <v>134</v>
      </c>
    </row>
    <row r="125" spans="1:7" x14ac:dyDescent="0.25">
      <c r="A125" s="6" t="s">
        <v>17</v>
      </c>
      <c r="B125" s="6" t="s">
        <v>158</v>
      </c>
      <c r="C125" s="6" t="s">
        <v>282</v>
      </c>
      <c r="D125" s="6" t="s">
        <v>132</v>
      </c>
      <c r="E125" s="9">
        <v>1237.2194744303358</v>
      </c>
      <c r="F125" s="18">
        <v>2053784.3275543575</v>
      </c>
      <c r="G125" s="6" t="s">
        <v>129</v>
      </c>
    </row>
    <row r="126" spans="1:7" x14ac:dyDescent="0.25">
      <c r="A126" s="6" t="s">
        <v>17</v>
      </c>
      <c r="B126" s="6" t="s">
        <v>158</v>
      </c>
      <c r="C126" s="6" t="s">
        <v>283</v>
      </c>
      <c r="D126" s="6" t="s">
        <v>132</v>
      </c>
      <c r="E126" s="9">
        <v>1237.2194744303358</v>
      </c>
      <c r="F126" s="18">
        <v>2053784.3275543575</v>
      </c>
      <c r="G126" s="6" t="s">
        <v>129</v>
      </c>
    </row>
    <row r="127" spans="1:7" x14ac:dyDescent="0.25">
      <c r="A127" s="6" t="s">
        <v>17</v>
      </c>
      <c r="B127" s="6" t="s">
        <v>158</v>
      </c>
      <c r="C127" s="6" t="s">
        <v>284</v>
      </c>
      <c r="D127" s="6" t="s">
        <v>132</v>
      </c>
      <c r="E127" s="9">
        <v>1237.2194744303358</v>
      </c>
      <c r="F127" s="18">
        <v>2053784.3275543575</v>
      </c>
      <c r="G127" s="6" t="s">
        <v>136</v>
      </c>
    </row>
    <row r="128" spans="1:7" x14ac:dyDescent="0.25">
      <c r="A128" s="6" t="s">
        <v>17</v>
      </c>
      <c r="B128" s="6" t="s">
        <v>158</v>
      </c>
      <c r="C128" s="6" t="s">
        <v>285</v>
      </c>
      <c r="D128" s="6" t="s">
        <v>132</v>
      </c>
      <c r="E128" s="9">
        <v>1237.2194744303358</v>
      </c>
      <c r="F128" s="18">
        <v>2053784.3275543575</v>
      </c>
      <c r="G128" s="6" t="s">
        <v>134</v>
      </c>
    </row>
    <row r="129" spans="1:7" x14ac:dyDescent="0.25">
      <c r="A129" s="6" t="s">
        <v>17</v>
      </c>
      <c r="B129" s="6" t="s">
        <v>163</v>
      </c>
      <c r="C129" s="6" t="s">
        <v>286</v>
      </c>
      <c r="D129" s="6" t="s">
        <v>132</v>
      </c>
      <c r="E129" s="9">
        <v>1237.2194744303358</v>
      </c>
      <c r="F129" s="18">
        <v>2053784.3275543575</v>
      </c>
      <c r="G129" s="6" t="s">
        <v>134</v>
      </c>
    </row>
    <row r="130" spans="1:7" x14ac:dyDescent="0.25">
      <c r="A130" s="6" t="s">
        <v>17</v>
      </c>
      <c r="B130" s="6" t="s">
        <v>163</v>
      </c>
      <c r="C130" s="6" t="s">
        <v>287</v>
      </c>
      <c r="D130" s="6" t="s">
        <v>132</v>
      </c>
      <c r="E130" s="9">
        <v>1237.2194744303358</v>
      </c>
      <c r="F130" s="18">
        <v>2053784.3275543575</v>
      </c>
      <c r="G130" s="6" t="s">
        <v>136</v>
      </c>
    </row>
    <row r="131" spans="1:7" x14ac:dyDescent="0.25">
      <c r="A131" s="6" t="s">
        <v>17</v>
      </c>
      <c r="B131" s="6" t="s">
        <v>163</v>
      </c>
      <c r="C131" s="6" t="s">
        <v>288</v>
      </c>
      <c r="D131" s="6" t="s">
        <v>132</v>
      </c>
      <c r="E131" s="9">
        <v>1237.2194744303358</v>
      </c>
      <c r="F131" s="18">
        <v>2053784.3275543575</v>
      </c>
      <c r="G131" s="6" t="s">
        <v>129</v>
      </c>
    </row>
    <row r="132" spans="1:7" x14ac:dyDescent="0.25">
      <c r="A132" s="6" t="s">
        <v>17</v>
      </c>
      <c r="B132" s="6" t="s">
        <v>163</v>
      </c>
      <c r="C132" s="6" t="s">
        <v>289</v>
      </c>
      <c r="D132" s="6" t="s">
        <v>132</v>
      </c>
      <c r="E132" s="9">
        <v>1237.2194744303358</v>
      </c>
      <c r="F132" s="18">
        <v>2053784.3275543575</v>
      </c>
      <c r="G132" s="6" t="s">
        <v>129</v>
      </c>
    </row>
    <row r="133" spans="1:7" x14ac:dyDescent="0.25">
      <c r="A133" s="6" t="s">
        <v>17</v>
      </c>
      <c r="B133" s="6" t="s">
        <v>168</v>
      </c>
      <c r="C133" s="6" t="s">
        <v>290</v>
      </c>
      <c r="D133" s="6" t="s">
        <v>190</v>
      </c>
      <c r="E133" s="9">
        <v>3563.2333285707196</v>
      </c>
      <c r="F133" s="18">
        <v>4097718.3278563274</v>
      </c>
      <c r="G133" s="6" t="s">
        <v>129</v>
      </c>
    </row>
    <row r="134" spans="1:7" x14ac:dyDescent="0.25">
      <c r="A134" s="6" t="s">
        <v>17</v>
      </c>
      <c r="B134" s="6" t="s">
        <v>168</v>
      </c>
      <c r="C134" s="6" t="s">
        <v>291</v>
      </c>
      <c r="D134" s="6" t="s">
        <v>190</v>
      </c>
      <c r="E134" s="9">
        <v>3563.2333285707196</v>
      </c>
      <c r="F134" s="18">
        <v>4097718.3278563274</v>
      </c>
      <c r="G134" s="6" t="s">
        <v>136</v>
      </c>
    </row>
    <row r="135" spans="1:7" x14ac:dyDescent="0.25">
      <c r="A135" s="6" t="s">
        <v>17</v>
      </c>
      <c r="B135" s="6" t="s">
        <v>173</v>
      </c>
      <c r="C135" s="6" t="s">
        <v>292</v>
      </c>
      <c r="D135" s="6" t="s">
        <v>190</v>
      </c>
      <c r="E135" s="9">
        <v>3563.2333285707196</v>
      </c>
      <c r="F135" s="18">
        <v>4097718.3278563274</v>
      </c>
      <c r="G135" s="6" t="s">
        <v>134</v>
      </c>
    </row>
    <row r="136" spans="1:7" x14ac:dyDescent="0.25">
      <c r="A136" s="6" t="s">
        <v>17</v>
      </c>
      <c r="B136" s="6" t="s">
        <v>173</v>
      </c>
      <c r="C136" s="6" t="s">
        <v>293</v>
      </c>
      <c r="D136" s="6" t="s">
        <v>190</v>
      </c>
      <c r="E136" s="9">
        <v>3563.2333285707196</v>
      </c>
      <c r="F136" s="18">
        <v>4097718.3278563274</v>
      </c>
      <c r="G136" s="6" t="s">
        <v>129</v>
      </c>
    </row>
    <row r="137" spans="1:7" x14ac:dyDescent="0.25">
      <c r="A137" s="6" t="s">
        <v>17</v>
      </c>
      <c r="B137" s="6" t="s">
        <v>178</v>
      </c>
      <c r="C137" s="6" t="s">
        <v>294</v>
      </c>
      <c r="D137" s="6" t="s">
        <v>190</v>
      </c>
      <c r="E137" s="9">
        <v>3563.2333285707196</v>
      </c>
      <c r="F137" s="18">
        <v>4097718.3278563274</v>
      </c>
      <c r="G137" s="6" t="s">
        <v>129</v>
      </c>
    </row>
    <row r="138" spans="1:7" x14ac:dyDescent="0.25">
      <c r="A138" s="6" t="s">
        <v>17</v>
      </c>
      <c r="B138" s="6" t="s">
        <v>178</v>
      </c>
      <c r="C138" s="6" t="s">
        <v>295</v>
      </c>
      <c r="D138" s="6" t="s">
        <v>190</v>
      </c>
      <c r="E138" s="9">
        <v>3563.2333285707196</v>
      </c>
      <c r="F138" s="18">
        <v>4097718.3278563274</v>
      </c>
      <c r="G138" s="6" t="s">
        <v>129</v>
      </c>
    </row>
    <row r="139" spans="1:7" x14ac:dyDescent="0.25">
      <c r="A139" s="6" t="s">
        <v>17</v>
      </c>
      <c r="B139" s="6" t="s">
        <v>183</v>
      </c>
      <c r="C139" s="6" t="s">
        <v>296</v>
      </c>
      <c r="D139" s="6" t="s">
        <v>190</v>
      </c>
      <c r="E139" s="9">
        <v>3563.2333285707196</v>
      </c>
      <c r="F139" s="18">
        <v>4097718.3278563274</v>
      </c>
      <c r="G139" s="6" t="s">
        <v>129</v>
      </c>
    </row>
    <row r="140" spans="1:7" x14ac:dyDescent="0.25">
      <c r="A140" s="6" t="s">
        <v>17</v>
      </c>
      <c r="B140" s="6" t="s">
        <v>183</v>
      </c>
      <c r="C140" s="6" t="s">
        <v>297</v>
      </c>
      <c r="D140" s="6" t="s">
        <v>190</v>
      </c>
      <c r="E140" s="9">
        <v>3563.2333285707196</v>
      </c>
      <c r="F140" s="18">
        <v>4097718.3278563274</v>
      </c>
      <c r="G140" s="6" t="s">
        <v>129</v>
      </c>
    </row>
    <row r="141" spans="1:7" x14ac:dyDescent="0.25">
      <c r="A141" s="6" t="s">
        <v>17</v>
      </c>
      <c r="B141" s="6" t="s">
        <v>188</v>
      </c>
      <c r="C141" s="6" t="s">
        <v>298</v>
      </c>
      <c r="D141" s="6" t="s">
        <v>190</v>
      </c>
      <c r="E141" s="9">
        <v>3563.2333285707196</v>
      </c>
      <c r="F141" s="18">
        <v>4097718.3278563274</v>
      </c>
      <c r="G141" s="6" t="s">
        <v>136</v>
      </c>
    </row>
    <row r="142" spans="1:7" x14ac:dyDescent="0.25">
      <c r="A142" s="6" t="s">
        <v>17</v>
      </c>
      <c r="B142" s="6" t="s">
        <v>188</v>
      </c>
      <c r="C142" s="6" t="s">
        <v>299</v>
      </c>
      <c r="D142" s="6" t="s">
        <v>190</v>
      </c>
      <c r="E142" s="9">
        <v>3563.2333285707196</v>
      </c>
      <c r="F142" s="18">
        <v>4097718.3278563274</v>
      </c>
      <c r="G142" s="6" t="s">
        <v>136</v>
      </c>
    </row>
    <row r="143" spans="1:7" x14ac:dyDescent="0.25">
      <c r="A143" s="6" t="s">
        <v>17</v>
      </c>
      <c r="B143" s="6" t="s">
        <v>192</v>
      </c>
      <c r="C143" s="6" t="s">
        <v>300</v>
      </c>
      <c r="D143" s="6" t="s">
        <v>190</v>
      </c>
      <c r="E143" s="9">
        <v>3563.2333285707196</v>
      </c>
      <c r="F143" s="18">
        <v>4097718.3278563274</v>
      </c>
      <c r="G143" s="6" t="s">
        <v>136</v>
      </c>
    </row>
    <row r="144" spans="1:7" x14ac:dyDescent="0.25">
      <c r="A144" s="6" t="s">
        <v>17</v>
      </c>
      <c r="B144" s="6" t="s">
        <v>192</v>
      </c>
      <c r="C144" s="6" t="s">
        <v>301</v>
      </c>
      <c r="D144" s="6" t="s">
        <v>190</v>
      </c>
      <c r="E144" s="9">
        <v>3563.2333285707196</v>
      </c>
      <c r="F144" s="18">
        <v>4097718.3278563274</v>
      </c>
      <c r="G144" s="6" t="s">
        <v>136</v>
      </c>
    </row>
    <row r="145" spans="1:7" x14ac:dyDescent="0.25">
      <c r="A145" s="6" t="s">
        <v>17</v>
      </c>
      <c r="B145" s="6" t="s">
        <v>195</v>
      </c>
      <c r="C145" s="6" t="s">
        <v>302</v>
      </c>
      <c r="D145" s="6" t="s">
        <v>190</v>
      </c>
      <c r="E145" s="9">
        <v>3563.2333285707196</v>
      </c>
      <c r="F145" s="18">
        <v>4097718.3278563274</v>
      </c>
      <c r="G145" s="6" t="s">
        <v>134</v>
      </c>
    </row>
    <row r="146" spans="1:7" x14ac:dyDescent="0.25">
      <c r="A146" s="6" t="s">
        <v>17</v>
      </c>
      <c r="B146" s="6" t="s">
        <v>195</v>
      </c>
      <c r="C146" s="6" t="s">
        <v>303</v>
      </c>
      <c r="D146" s="6" t="s">
        <v>190</v>
      </c>
      <c r="E146" s="9">
        <v>3563.2333285707196</v>
      </c>
      <c r="F146" s="18">
        <v>4097718.3278563274</v>
      </c>
      <c r="G146" s="6" t="s">
        <v>136</v>
      </c>
    </row>
    <row r="147" spans="1:7" x14ac:dyDescent="0.25">
      <c r="A147" s="6" t="s">
        <v>17</v>
      </c>
      <c r="B147" s="6" t="s">
        <v>198</v>
      </c>
      <c r="C147" s="6" t="s">
        <v>304</v>
      </c>
      <c r="D147" s="6" t="s">
        <v>190</v>
      </c>
      <c r="E147" s="9">
        <v>3563.2333285707196</v>
      </c>
      <c r="F147" s="18">
        <v>4097718.3278563274</v>
      </c>
      <c r="G147" s="6" t="s">
        <v>134</v>
      </c>
    </row>
    <row r="148" spans="1:7" x14ac:dyDescent="0.25">
      <c r="A148" s="6" t="s">
        <v>17</v>
      </c>
      <c r="B148" s="6" t="s">
        <v>198</v>
      </c>
      <c r="C148" s="6" t="s">
        <v>305</v>
      </c>
      <c r="D148" s="6" t="s">
        <v>190</v>
      </c>
      <c r="E148" s="9">
        <v>3563.2333285707196</v>
      </c>
      <c r="F148" s="18">
        <v>4097718.3278563274</v>
      </c>
      <c r="G148" s="6" t="s">
        <v>129</v>
      </c>
    </row>
    <row r="149" spans="1:7" x14ac:dyDescent="0.25">
      <c r="A149" s="6" t="s">
        <v>17</v>
      </c>
      <c r="B149" s="6" t="s">
        <v>201</v>
      </c>
      <c r="C149" s="6" t="s">
        <v>306</v>
      </c>
      <c r="D149" s="6" t="s">
        <v>190</v>
      </c>
      <c r="E149" s="9">
        <v>3563.2333285707196</v>
      </c>
      <c r="F149" s="18">
        <v>4097718.3278563274</v>
      </c>
      <c r="G149" s="6" t="s">
        <v>136</v>
      </c>
    </row>
    <row r="150" spans="1:7" x14ac:dyDescent="0.25">
      <c r="A150" s="6" t="s">
        <v>17</v>
      </c>
      <c r="B150" s="6" t="s">
        <v>201</v>
      </c>
      <c r="C150" s="6" t="s">
        <v>307</v>
      </c>
      <c r="D150" s="6" t="s">
        <v>190</v>
      </c>
      <c r="E150" s="9">
        <v>3563.2333285707196</v>
      </c>
      <c r="F150" s="18">
        <v>4097718.3278563274</v>
      </c>
      <c r="G150" s="6" t="s">
        <v>129</v>
      </c>
    </row>
    <row r="151" spans="1:7" x14ac:dyDescent="0.25">
      <c r="A151" s="6" t="s">
        <v>17</v>
      </c>
      <c r="B151" s="6" t="s">
        <v>204</v>
      </c>
      <c r="C151" s="6" t="s">
        <v>308</v>
      </c>
      <c r="D151" s="6" t="s">
        <v>190</v>
      </c>
      <c r="E151" s="9">
        <v>3563.2333285707196</v>
      </c>
      <c r="F151" s="18">
        <v>4097718.3278563274</v>
      </c>
      <c r="G151" s="6" t="s">
        <v>136</v>
      </c>
    </row>
    <row r="152" spans="1:7" x14ac:dyDescent="0.25">
      <c r="A152" s="6" t="s">
        <v>17</v>
      </c>
      <c r="B152" s="6" t="s">
        <v>204</v>
      </c>
      <c r="C152" s="6" t="s">
        <v>309</v>
      </c>
      <c r="D152" s="6" t="s">
        <v>190</v>
      </c>
      <c r="E152" s="9">
        <v>3563.2333285707196</v>
      </c>
      <c r="F152" s="18">
        <v>4097718.3278563274</v>
      </c>
      <c r="G152" s="6" t="s">
        <v>136</v>
      </c>
    </row>
    <row r="153" spans="1:7" x14ac:dyDescent="0.25">
      <c r="A153" s="6" t="s">
        <v>17</v>
      </c>
      <c r="B153" s="6" t="s">
        <v>207</v>
      </c>
      <c r="C153" s="6" t="s">
        <v>310</v>
      </c>
      <c r="D153" s="6" t="s">
        <v>209</v>
      </c>
      <c r="E153" s="9">
        <v>3030.4723340616224</v>
      </c>
      <c r="F153" s="18">
        <v>3242605.397445936</v>
      </c>
      <c r="G153" s="6" t="s">
        <v>129</v>
      </c>
    </row>
    <row r="154" spans="1:7" x14ac:dyDescent="0.25">
      <c r="A154" s="6" t="s">
        <v>17</v>
      </c>
      <c r="B154" s="6" t="s">
        <v>207</v>
      </c>
      <c r="C154" s="6" t="s">
        <v>311</v>
      </c>
      <c r="D154" s="6" t="s">
        <v>209</v>
      </c>
      <c r="E154" s="9">
        <v>3030.4723340616224</v>
      </c>
      <c r="F154" s="18">
        <v>3242605.397445936</v>
      </c>
      <c r="G154" s="6" t="s">
        <v>134</v>
      </c>
    </row>
    <row r="155" spans="1:7" x14ac:dyDescent="0.25">
      <c r="A155" s="6" t="s">
        <v>17</v>
      </c>
      <c r="B155" s="6" t="s">
        <v>207</v>
      </c>
      <c r="C155" s="6" t="s">
        <v>312</v>
      </c>
      <c r="D155" s="6" t="s">
        <v>209</v>
      </c>
      <c r="E155" s="9">
        <v>3030.4723340616224</v>
      </c>
      <c r="F155" s="18">
        <v>3242605.397445936</v>
      </c>
      <c r="G155" s="6" t="s">
        <v>136</v>
      </c>
    </row>
    <row r="156" spans="1:7" x14ac:dyDescent="0.25">
      <c r="A156" s="6" t="s">
        <v>17</v>
      </c>
      <c r="B156" s="6" t="s">
        <v>207</v>
      </c>
      <c r="C156" s="6" t="s">
        <v>313</v>
      </c>
      <c r="D156" s="6" t="s">
        <v>209</v>
      </c>
      <c r="E156" s="9">
        <v>3030.4723340616224</v>
      </c>
      <c r="F156" s="18">
        <v>3242605.397445936</v>
      </c>
      <c r="G156" s="6" t="s">
        <v>129</v>
      </c>
    </row>
    <row r="157" spans="1:7" x14ac:dyDescent="0.25">
      <c r="A157" s="6" t="s">
        <v>17</v>
      </c>
      <c r="B157" s="6" t="s">
        <v>207</v>
      </c>
      <c r="C157" s="6" t="s">
        <v>314</v>
      </c>
      <c r="D157" s="6" t="s">
        <v>209</v>
      </c>
      <c r="E157" s="9">
        <v>3030.4723340616224</v>
      </c>
      <c r="F157" s="18">
        <v>3242605.397445936</v>
      </c>
      <c r="G157" s="6" t="s">
        <v>129</v>
      </c>
    </row>
    <row r="158" spans="1:7" x14ac:dyDescent="0.25">
      <c r="A158" s="6" t="s">
        <v>17</v>
      </c>
      <c r="B158" s="6" t="s">
        <v>207</v>
      </c>
      <c r="C158" s="6" t="s">
        <v>315</v>
      </c>
      <c r="D158" s="6" t="s">
        <v>209</v>
      </c>
      <c r="E158" s="9">
        <v>3030.4723340616224</v>
      </c>
      <c r="F158" s="18">
        <v>3242605.397445936</v>
      </c>
      <c r="G158" s="6" t="s">
        <v>136</v>
      </c>
    </row>
    <row r="159" spans="1:7" x14ac:dyDescent="0.25">
      <c r="A159" s="6" t="s">
        <v>17</v>
      </c>
      <c r="B159" s="6" t="s">
        <v>207</v>
      </c>
      <c r="C159" s="6" t="s">
        <v>316</v>
      </c>
      <c r="D159" s="6" t="s">
        <v>209</v>
      </c>
      <c r="E159" s="9">
        <v>3030.4723340616224</v>
      </c>
      <c r="F159" s="18">
        <v>3242605.397445936</v>
      </c>
      <c r="G159" s="6" t="s">
        <v>136</v>
      </c>
    </row>
    <row r="160" spans="1:7" x14ac:dyDescent="0.25">
      <c r="A160" s="10" t="s">
        <v>317</v>
      </c>
      <c r="B160" s="10"/>
      <c r="C160" s="10" t="s">
        <v>318</v>
      </c>
      <c r="D160" s="10"/>
      <c r="E160" s="13">
        <f>SUM(E68:E159)</f>
        <v>185000.00000000017</v>
      </c>
      <c r="F160" s="19">
        <f>SUM(F68:F159)</f>
        <v>279049539.2424201</v>
      </c>
      <c r="G160" s="10" t="s">
        <v>319</v>
      </c>
    </row>
    <row r="162" spans="1:7" x14ac:dyDescent="0.25">
      <c r="A162" s="6" t="s">
        <v>18</v>
      </c>
      <c r="B162" s="6" t="s">
        <v>173</v>
      </c>
      <c r="C162" s="6" t="s">
        <v>320</v>
      </c>
      <c r="D162" s="6" t="s">
        <v>128</v>
      </c>
      <c r="E162" s="9">
        <v>3846.9922838824878</v>
      </c>
      <c r="F162" s="18">
        <v>6347537.268406105</v>
      </c>
      <c r="G162" s="6" t="s">
        <v>129</v>
      </c>
    </row>
    <row r="163" spans="1:7" x14ac:dyDescent="0.25">
      <c r="A163" s="6" t="s">
        <v>18</v>
      </c>
      <c r="B163" s="6" t="s">
        <v>178</v>
      </c>
      <c r="C163" s="6" t="s">
        <v>321</v>
      </c>
      <c r="D163" s="6" t="s">
        <v>132</v>
      </c>
      <c r="E163" s="9">
        <v>1677.3593513163512</v>
      </c>
      <c r="F163" s="18">
        <v>1912189.6605006403</v>
      </c>
      <c r="G163" s="6" t="s">
        <v>136</v>
      </c>
    </row>
    <row r="164" spans="1:7" x14ac:dyDescent="0.25">
      <c r="A164" s="6" t="s">
        <v>18</v>
      </c>
      <c r="B164" s="6" t="s">
        <v>178</v>
      </c>
      <c r="C164" s="6" t="s">
        <v>322</v>
      </c>
      <c r="D164" s="6" t="s">
        <v>132</v>
      </c>
      <c r="E164" s="9">
        <v>1677.3593513163512</v>
      </c>
      <c r="F164" s="18">
        <v>1912189.6605006403</v>
      </c>
      <c r="G164" s="6" t="s">
        <v>134</v>
      </c>
    </row>
    <row r="165" spans="1:7" x14ac:dyDescent="0.25">
      <c r="A165" s="6" t="s">
        <v>18</v>
      </c>
      <c r="B165" s="6" t="s">
        <v>178</v>
      </c>
      <c r="C165" s="6" t="s">
        <v>323</v>
      </c>
      <c r="D165" s="6" t="s">
        <v>132</v>
      </c>
      <c r="E165" s="9">
        <v>1677.3593513163512</v>
      </c>
      <c r="F165" s="18">
        <v>1912189.6605006403</v>
      </c>
      <c r="G165" s="6" t="s">
        <v>129</v>
      </c>
    </row>
    <row r="166" spans="1:7" x14ac:dyDescent="0.25">
      <c r="A166" s="6" t="s">
        <v>18</v>
      </c>
      <c r="B166" s="6" t="s">
        <v>178</v>
      </c>
      <c r="C166" s="6" t="s">
        <v>324</v>
      </c>
      <c r="D166" s="6" t="s">
        <v>132</v>
      </c>
      <c r="E166" s="9">
        <v>1677.3593513163512</v>
      </c>
      <c r="F166" s="18">
        <v>1912189.6605006403</v>
      </c>
      <c r="G166" s="6" t="s">
        <v>129</v>
      </c>
    </row>
    <row r="167" spans="1:7" x14ac:dyDescent="0.25">
      <c r="A167" s="6" t="s">
        <v>18</v>
      </c>
      <c r="B167" s="6" t="s">
        <v>183</v>
      </c>
      <c r="C167" s="6" t="s">
        <v>325</v>
      </c>
      <c r="D167" s="6" t="s">
        <v>132</v>
      </c>
      <c r="E167" s="9">
        <v>1677.3593513163512</v>
      </c>
      <c r="F167" s="18">
        <v>1912189.6605006403</v>
      </c>
      <c r="G167" s="6" t="s">
        <v>129</v>
      </c>
    </row>
    <row r="168" spans="1:7" x14ac:dyDescent="0.25">
      <c r="A168" s="6" t="s">
        <v>18</v>
      </c>
      <c r="B168" s="6" t="s">
        <v>183</v>
      </c>
      <c r="C168" s="6" t="s">
        <v>326</v>
      </c>
      <c r="D168" s="6" t="s">
        <v>132</v>
      </c>
      <c r="E168" s="9">
        <v>1677.3593513163512</v>
      </c>
      <c r="F168" s="18">
        <v>1912189.6605006403</v>
      </c>
      <c r="G168" s="6" t="s">
        <v>136</v>
      </c>
    </row>
    <row r="169" spans="1:7" x14ac:dyDescent="0.25">
      <c r="A169" s="6" t="s">
        <v>18</v>
      </c>
      <c r="B169" s="6" t="s">
        <v>183</v>
      </c>
      <c r="C169" s="6" t="s">
        <v>327</v>
      </c>
      <c r="D169" s="6" t="s">
        <v>132</v>
      </c>
      <c r="E169" s="9">
        <v>1677.3593513163512</v>
      </c>
      <c r="F169" s="18">
        <v>1912189.6605006403</v>
      </c>
      <c r="G169" s="6" t="s">
        <v>136</v>
      </c>
    </row>
    <row r="170" spans="1:7" x14ac:dyDescent="0.25">
      <c r="A170" s="6" t="s">
        <v>18</v>
      </c>
      <c r="B170" s="6" t="s">
        <v>183</v>
      </c>
      <c r="C170" s="6" t="s">
        <v>328</v>
      </c>
      <c r="D170" s="6" t="s">
        <v>132</v>
      </c>
      <c r="E170" s="9">
        <v>1677.3593513163512</v>
      </c>
      <c r="F170" s="18">
        <v>1912189.6605006403</v>
      </c>
      <c r="G170" s="6" t="s">
        <v>129</v>
      </c>
    </row>
    <row r="171" spans="1:7" x14ac:dyDescent="0.25">
      <c r="A171" s="6" t="s">
        <v>18</v>
      </c>
      <c r="B171" s="6" t="s">
        <v>188</v>
      </c>
      <c r="C171" s="6" t="s">
        <v>329</v>
      </c>
      <c r="D171" s="6" t="s">
        <v>132</v>
      </c>
      <c r="E171" s="9">
        <v>1677.3593513163512</v>
      </c>
      <c r="F171" s="18">
        <v>1912189.6605006403</v>
      </c>
      <c r="G171" s="6" t="s">
        <v>136</v>
      </c>
    </row>
    <row r="172" spans="1:7" x14ac:dyDescent="0.25">
      <c r="A172" s="6" t="s">
        <v>18</v>
      </c>
      <c r="B172" s="6" t="s">
        <v>188</v>
      </c>
      <c r="C172" s="6" t="s">
        <v>330</v>
      </c>
      <c r="D172" s="6" t="s">
        <v>132</v>
      </c>
      <c r="E172" s="9">
        <v>1677.3593513163512</v>
      </c>
      <c r="F172" s="18">
        <v>1912189.6605006403</v>
      </c>
      <c r="G172" s="6" t="s">
        <v>136</v>
      </c>
    </row>
    <row r="173" spans="1:7" x14ac:dyDescent="0.25">
      <c r="A173" s="6" t="s">
        <v>18</v>
      </c>
      <c r="B173" s="6" t="s">
        <v>188</v>
      </c>
      <c r="C173" s="6" t="s">
        <v>331</v>
      </c>
      <c r="D173" s="6" t="s">
        <v>132</v>
      </c>
      <c r="E173" s="9">
        <v>1677.3593513163512</v>
      </c>
      <c r="F173" s="18">
        <v>1912189.6605006403</v>
      </c>
      <c r="G173" s="6" t="s">
        <v>129</v>
      </c>
    </row>
    <row r="174" spans="1:7" x14ac:dyDescent="0.25">
      <c r="A174" s="6" t="s">
        <v>18</v>
      </c>
      <c r="B174" s="6" t="s">
        <v>188</v>
      </c>
      <c r="C174" s="6" t="s">
        <v>332</v>
      </c>
      <c r="D174" s="6" t="s">
        <v>132</v>
      </c>
      <c r="E174" s="9">
        <v>1677.3593513163512</v>
      </c>
      <c r="F174" s="18">
        <v>1912189.6605006403</v>
      </c>
      <c r="G174" s="6" t="s">
        <v>129</v>
      </c>
    </row>
    <row r="175" spans="1:7" x14ac:dyDescent="0.25">
      <c r="A175" s="6" t="s">
        <v>18</v>
      </c>
      <c r="B175" s="6" t="s">
        <v>192</v>
      </c>
      <c r="C175" s="6" t="s">
        <v>333</v>
      </c>
      <c r="D175" s="6" t="s">
        <v>132</v>
      </c>
      <c r="E175" s="9">
        <v>1677.3593513163512</v>
      </c>
      <c r="F175" s="18">
        <v>1912189.6605006403</v>
      </c>
      <c r="G175" s="6" t="s">
        <v>136</v>
      </c>
    </row>
    <row r="176" spans="1:7" x14ac:dyDescent="0.25">
      <c r="A176" s="6" t="s">
        <v>18</v>
      </c>
      <c r="B176" s="6" t="s">
        <v>192</v>
      </c>
      <c r="C176" s="6" t="s">
        <v>334</v>
      </c>
      <c r="D176" s="6" t="s">
        <v>132</v>
      </c>
      <c r="E176" s="9">
        <v>1677.3593513163512</v>
      </c>
      <c r="F176" s="18">
        <v>1912189.6605006403</v>
      </c>
      <c r="G176" s="6" t="s">
        <v>129</v>
      </c>
    </row>
    <row r="177" spans="1:7" x14ac:dyDescent="0.25">
      <c r="A177" s="6" t="s">
        <v>18</v>
      </c>
      <c r="B177" s="6" t="s">
        <v>192</v>
      </c>
      <c r="C177" s="6" t="s">
        <v>335</v>
      </c>
      <c r="D177" s="6" t="s">
        <v>132</v>
      </c>
      <c r="E177" s="9">
        <v>1677.3593513163512</v>
      </c>
      <c r="F177" s="18">
        <v>1912189.6605006403</v>
      </c>
      <c r="G177" s="6" t="s">
        <v>134</v>
      </c>
    </row>
    <row r="178" spans="1:7" x14ac:dyDescent="0.25">
      <c r="A178" s="6" t="s">
        <v>18</v>
      </c>
      <c r="B178" s="6" t="s">
        <v>192</v>
      </c>
      <c r="C178" s="6" t="s">
        <v>336</v>
      </c>
      <c r="D178" s="6" t="s">
        <v>132</v>
      </c>
      <c r="E178" s="9">
        <v>1677.3593513163512</v>
      </c>
      <c r="F178" s="18">
        <v>1912189.6605006403</v>
      </c>
      <c r="G178" s="6" t="s">
        <v>136</v>
      </c>
    </row>
    <row r="179" spans="1:7" x14ac:dyDescent="0.25">
      <c r="A179" s="6" t="s">
        <v>18</v>
      </c>
      <c r="B179" s="6" t="s">
        <v>195</v>
      </c>
      <c r="C179" s="6" t="s">
        <v>337</v>
      </c>
      <c r="D179" s="6" t="s">
        <v>132</v>
      </c>
      <c r="E179" s="9">
        <v>1677.3593513163512</v>
      </c>
      <c r="F179" s="18">
        <v>1912189.6605006403</v>
      </c>
      <c r="G179" s="6" t="s">
        <v>129</v>
      </c>
    </row>
    <row r="180" spans="1:7" x14ac:dyDescent="0.25">
      <c r="A180" s="6" t="s">
        <v>18</v>
      </c>
      <c r="B180" s="6" t="s">
        <v>195</v>
      </c>
      <c r="C180" s="6" t="s">
        <v>338</v>
      </c>
      <c r="D180" s="6" t="s">
        <v>132</v>
      </c>
      <c r="E180" s="9">
        <v>1677.3593513163512</v>
      </c>
      <c r="F180" s="18">
        <v>1912189.6605006403</v>
      </c>
      <c r="G180" s="6" t="s">
        <v>129</v>
      </c>
    </row>
    <row r="181" spans="1:7" x14ac:dyDescent="0.25">
      <c r="A181" s="6" t="s">
        <v>18</v>
      </c>
      <c r="B181" s="6" t="s">
        <v>195</v>
      </c>
      <c r="C181" s="6" t="s">
        <v>339</v>
      </c>
      <c r="D181" s="6" t="s">
        <v>132</v>
      </c>
      <c r="E181" s="9">
        <v>1677.3593513163512</v>
      </c>
      <c r="F181" s="18">
        <v>1912189.6605006403</v>
      </c>
      <c r="G181" s="6" t="s">
        <v>136</v>
      </c>
    </row>
    <row r="182" spans="1:7" x14ac:dyDescent="0.25">
      <c r="A182" s="6" t="s">
        <v>18</v>
      </c>
      <c r="B182" s="6" t="s">
        <v>195</v>
      </c>
      <c r="C182" s="6" t="s">
        <v>340</v>
      </c>
      <c r="D182" s="6" t="s">
        <v>132</v>
      </c>
      <c r="E182" s="9">
        <v>1677.3593513163512</v>
      </c>
      <c r="F182" s="18">
        <v>1912189.6605006403</v>
      </c>
      <c r="G182" s="6" t="s">
        <v>134</v>
      </c>
    </row>
    <row r="183" spans="1:7" x14ac:dyDescent="0.25">
      <c r="A183" s="6" t="s">
        <v>18</v>
      </c>
      <c r="B183" s="6" t="s">
        <v>198</v>
      </c>
      <c r="C183" s="6" t="s">
        <v>341</v>
      </c>
      <c r="D183" s="6" t="s">
        <v>132</v>
      </c>
      <c r="E183" s="9">
        <v>1677.3593513163512</v>
      </c>
      <c r="F183" s="18">
        <v>1912189.6605006403</v>
      </c>
      <c r="G183" s="6" t="s">
        <v>136</v>
      </c>
    </row>
    <row r="184" spans="1:7" x14ac:dyDescent="0.25">
      <c r="A184" s="6" t="s">
        <v>18</v>
      </c>
      <c r="B184" s="6" t="s">
        <v>198</v>
      </c>
      <c r="C184" s="6" t="s">
        <v>342</v>
      </c>
      <c r="D184" s="6" t="s">
        <v>132</v>
      </c>
      <c r="E184" s="9">
        <v>1677.3593513163512</v>
      </c>
      <c r="F184" s="18">
        <v>1912189.6605006403</v>
      </c>
      <c r="G184" s="6" t="s">
        <v>136</v>
      </c>
    </row>
    <row r="185" spans="1:7" x14ac:dyDescent="0.25">
      <c r="A185" s="6" t="s">
        <v>18</v>
      </c>
      <c r="B185" s="6" t="s">
        <v>198</v>
      </c>
      <c r="C185" s="6" t="s">
        <v>343</v>
      </c>
      <c r="D185" s="6" t="s">
        <v>132</v>
      </c>
      <c r="E185" s="9">
        <v>1677.3593513163512</v>
      </c>
      <c r="F185" s="18">
        <v>1912189.6605006403</v>
      </c>
      <c r="G185" s="6" t="s">
        <v>129</v>
      </c>
    </row>
    <row r="186" spans="1:7" x14ac:dyDescent="0.25">
      <c r="A186" s="6" t="s">
        <v>18</v>
      </c>
      <c r="B186" s="6" t="s">
        <v>198</v>
      </c>
      <c r="C186" s="6" t="s">
        <v>344</v>
      </c>
      <c r="D186" s="6" t="s">
        <v>132</v>
      </c>
      <c r="E186" s="9">
        <v>1677.3593513163512</v>
      </c>
      <c r="F186" s="18">
        <v>1912189.6605006403</v>
      </c>
      <c r="G186" s="6" t="s">
        <v>129</v>
      </c>
    </row>
    <row r="187" spans="1:7" x14ac:dyDescent="0.25">
      <c r="A187" s="6" t="s">
        <v>18</v>
      </c>
      <c r="B187" s="6" t="s">
        <v>201</v>
      </c>
      <c r="C187" s="6" t="s">
        <v>345</v>
      </c>
      <c r="D187" s="6" t="s">
        <v>190</v>
      </c>
      <c r="E187" s="9">
        <v>3849.293874687897</v>
      </c>
      <c r="F187" s="18">
        <v>3926279.7521816553</v>
      </c>
      <c r="G187" s="6" t="s">
        <v>136</v>
      </c>
    </row>
    <row r="188" spans="1:7" x14ac:dyDescent="0.25">
      <c r="A188" s="6" t="s">
        <v>18</v>
      </c>
      <c r="B188" s="6" t="s">
        <v>201</v>
      </c>
      <c r="C188" s="6" t="s">
        <v>346</v>
      </c>
      <c r="D188" s="6" t="s">
        <v>190</v>
      </c>
      <c r="E188" s="9">
        <v>3849.293874687897</v>
      </c>
      <c r="F188" s="18">
        <v>3926279.7521816553</v>
      </c>
      <c r="G188" s="6" t="s">
        <v>134</v>
      </c>
    </row>
    <row r="189" spans="1:7" x14ac:dyDescent="0.25">
      <c r="A189" s="6" t="s">
        <v>18</v>
      </c>
      <c r="B189" s="6" t="s">
        <v>204</v>
      </c>
      <c r="C189" s="6" t="s">
        <v>347</v>
      </c>
      <c r="D189" s="6" t="s">
        <v>190</v>
      </c>
      <c r="E189" s="9">
        <v>3849.293874687897</v>
      </c>
      <c r="F189" s="18">
        <v>3926279.7521816553</v>
      </c>
      <c r="G189" s="6" t="s">
        <v>136</v>
      </c>
    </row>
    <row r="190" spans="1:7" x14ac:dyDescent="0.25">
      <c r="A190" s="6" t="s">
        <v>18</v>
      </c>
      <c r="B190" s="6" t="s">
        <v>204</v>
      </c>
      <c r="C190" s="6" t="s">
        <v>348</v>
      </c>
      <c r="D190" s="6" t="s">
        <v>190</v>
      </c>
      <c r="E190" s="9">
        <v>3849.293874687897</v>
      </c>
      <c r="F190" s="18">
        <v>3926279.7521816553</v>
      </c>
      <c r="G190" s="6" t="s">
        <v>129</v>
      </c>
    </row>
    <row r="191" spans="1:7" x14ac:dyDescent="0.25">
      <c r="A191" s="6" t="s">
        <v>18</v>
      </c>
      <c r="B191" s="6" t="s">
        <v>207</v>
      </c>
      <c r="C191" s="6" t="s">
        <v>349</v>
      </c>
      <c r="D191" s="6" t="s">
        <v>209</v>
      </c>
      <c r="E191" s="9">
        <v>2833.0692619245</v>
      </c>
      <c r="F191" s="18">
        <v>2748077.184066765</v>
      </c>
      <c r="G191" s="6" t="s">
        <v>136</v>
      </c>
    </row>
    <row r="192" spans="1:7" x14ac:dyDescent="0.25">
      <c r="A192" s="6" t="s">
        <v>18</v>
      </c>
      <c r="B192" s="6" t="s">
        <v>207</v>
      </c>
      <c r="C192" s="6" t="s">
        <v>350</v>
      </c>
      <c r="D192" s="6" t="s">
        <v>209</v>
      </c>
      <c r="E192" s="9">
        <v>2833.0692619245</v>
      </c>
      <c r="F192" s="18">
        <v>2748077.184066765</v>
      </c>
      <c r="G192" s="6" t="s">
        <v>134</v>
      </c>
    </row>
    <row r="193" spans="1:7" x14ac:dyDescent="0.25">
      <c r="A193" s="6" t="s">
        <v>18</v>
      </c>
      <c r="B193" s="6" t="s">
        <v>207</v>
      </c>
      <c r="C193" s="6" t="s">
        <v>351</v>
      </c>
      <c r="D193" s="6" t="s">
        <v>209</v>
      </c>
      <c r="E193" s="9">
        <v>2833.0692619245</v>
      </c>
      <c r="F193" s="18">
        <v>2748077.184066765</v>
      </c>
      <c r="G193" s="6" t="s">
        <v>129</v>
      </c>
    </row>
    <row r="194" spans="1:7" x14ac:dyDescent="0.25">
      <c r="A194" s="10" t="s">
        <v>352</v>
      </c>
      <c r="B194" s="10"/>
      <c r="C194" s="10" t="s">
        <v>353</v>
      </c>
      <c r="D194" s="10"/>
      <c r="E194" s="13">
        <f>SUM(E162:E193)</f>
        <v>67999.99999999999</v>
      </c>
      <c r="F194" s="19">
        <f>SUM(F162:F193)</f>
        <v>76189439.68134841</v>
      </c>
      <c r="G194" s="10" t="s">
        <v>354</v>
      </c>
    </row>
    <row r="196" spans="1:7" x14ac:dyDescent="0.25">
      <c r="A196" s="6" t="s">
        <v>19</v>
      </c>
      <c r="B196" s="6" t="s">
        <v>355</v>
      </c>
      <c r="C196" s="6" t="s">
        <v>356</v>
      </c>
      <c r="D196" s="6" t="s">
        <v>128</v>
      </c>
      <c r="E196" s="9">
        <v>15161.64299919474</v>
      </c>
      <c r="F196" s="18">
        <v>59130407.69685949</v>
      </c>
      <c r="G196" s="6" t="s">
        <v>129</v>
      </c>
    </row>
    <row r="197" spans="1:7" x14ac:dyDescent="0.25">
      <c r="A197" s="6" t="s">
        <v>19</v>
      </c>
      <c r="B197" s="6" t="s">
        <v>357</v>
      </c>
      <c r="C197" s="6" t="s">
        <v>358</v>
      </c>
      <c r="D197" s="6" t="s">
        <v>132</v>
      </c>
      <c r="E197" s="9">
        <v>1102.5764123760946</v>
      </c>
      <c r="F197" s="18">
        <v>2216178.5888759503</v>
      </c>
      <c r="G197" s="6" t="s">
        <v>129</v>
      </c>
    </row>
    <row r="198" spans="1:7" x14ac:dyDescent="0.25">
      <c r="A198" s="6" t="s">
        <v>19</v>
      </c>
      <c r="B198" s="6" t="s">
        <v>357</v>
      </c>
      <c r="C198" s="6" t="s">
        <v>359</v>
      </c>
      <c r="D198" s="6" t="s">
        <v>132</v>
      </c>
      <c r="E198" s="9">
        <v>1102.5764123760946</v>
      </c>
      <c r="F198" s="18">
        <v>2216178.5888759503</v>
      </c>
      <c r="G198" s="6" t="s">
        <v>129</v>
      </c>
    </row>
    <row r="199" spans="1:7" x14ac:dyDescent="0.25">
      <c r="A199" s="6" t="s">
        <v>19</v>
      </c>
      <c r="B199" s="6" t="s">
        <v>357</v>
      </c>
      <c r="C199" s="6" t="s">
        <v>360</v>
      </c>
      <c r="D199" s="6" t="s">
        <v>132</v>
      </c>
      <c r="E199" s="9">
        <v>1102.5764123760946</v>
      </c>
      <c r="F199" s="18">
        <v>2216178.5888759503</v>
      </c>
      <c r="G199" s="6" t="s">
        <v>134</v>
      </c>
    </row>
    <row r="200" spans="1:7" x14ac:dyDescent="0.25">
      <c r="A200" s="6" t="s">
        <v>19</v>
      </c>
      <c r="B200" s="6" t="s">
        <v>357</v>
      </c>
      <c r="C200" s="6" t="s">
        <v>361</v>
      </c>
      <c r="D200" s="6" t="s">
        <v>132</v>
      </c>
      <c r="E200" s="9">
        <v>1102.5764123760946</v>
      </c>
      <c r="F200" s="18">
        <v>2216178.5888759503</v>
      </c>
      <c r="G200" s="6" t="s">
        <v>136</v>
      </c>
    </row>
    <row r="201" spans="1:7" x14ac:dyDescent="0.25">
      <c r="A201" s="6" t="s">
        <v>19</v>
      </c>
      <c r="B201" s="6" t="s">
        <v>362</v>
      </c>
      <c r="C201" s="6" t="s">
        <v>363</v>
      </c>
      <c r="D201" s="6" t="s">
        <v>132</v>
      </c>
      <c r="E201" s="9">
        <v>1152.1702560594142</v>
      </c>
      <c r="F201" s="18">
        <v>2315862.214679423</v>
      </c>
      <c r="G201" s="6" t="s">
        <v>134</v>
      </c>
    </row>
    <row r="202" spans="1:7" x14ac:dyDescent="0.25">
      <c r="A202" s="6" t="s">
        <v>19</v>
      </c>
      <c r="B202" s="6" t="s">
        <v>362</v>
      </c>
      <c r="C202" s="6" t="s">
        <v>364</v>
      </c>
      <c r="D202" s="6" t="s">
        <v>132</v>
      </c>
      <c r="E202" s="9">
        <v>1152.1702560594142</v>
      </c>
      <c r="F202" s="18">
        <v>2315862.214679423</v>
      </c>
      <c r="G202" s="6" t="s">
        <v>129</v>
      </c>
    </row>
    <row r="203" spans="1:7" x14ac:dyDescent="0.25">
      <c r="A203" s="6" t="s">
        <v>19</v>
      </c>
      <c r="B203" s="6" t="s">
        <v>362</v>
      </c>
      <c r="C203" s="6" t="s">
        <v>365</v>
      </c>
      <c r="D203" s="6" t="s">
        <v>132</v>
      </c>
      <c r="E203" s="9">
        <v>1152.1702560594142</v>
      </c>
      <c r="F203" s="18">
        <v>2315862.214679423</v>
      </c>
      <c r="G203" s="6" t="s">
        <v>129</v>
      </c>
    </row>
    <row r="204" spans="1:7" x14ac:dyDescent="0.25">
      <c r="A204" s="6" t="s">
        <v>19</v>
      </c>
      <c r="B204" s="6" t="s">
        <v>362</v>
      </c>
      <c r="C204" s="6" t="s">
        <v>366</v>
      </c>
      <c r="D204" s="6" t="s">
        <v>132</v>
      </c>
      <c r="E204" s="9">
        <v>1152.1702560594142</v>
      </c>
      <c r="F204" s="18">
        <v>2315862.214679423</v>
      </c>
      <c r="G204" s="6" t="s">
        <v>136</v>
      </c>
    </row>
    <row r="205" spans="1:7" x14ac:dyDescent="0.25">
      <c r="A205" s="6" t="s">
        <v>19</v>
      </c>
      <c r="B205" s="6" t="s">
        <v>367</v>
      </c>
      <c r="C205" s="6" t="s">
        <v>368</v>
      </c>
      <c r="D205" s="6" t="s">
        <v>132</v>
      </c>
      <c r="E205" s="9">
        <v>1202.5240508093907</v>
      </c>
      <c r="F205" s="18">
        <v>2417073.342126875</v>
      </c>
      <c r="G205" s="6" t="s">
        <v>136</v>
      </c>
    </row>
    <row r="206" spans="1:7" x14ac:dyDescent="0.25">
      <c r="A206" s="6" t="s">
        <v>19</v>
      </c>
      <c r="B206" s="6" t="s">
        <v>367</v>
      </c>
      <c r="C206" s="6" t="s">
        <v>369</v>
      </c>
      <c r="D206" s="6" t="s">
        <v>132</v>
      </c>
      <c r="E206" s="9">
        <v>1202.5240508093907</v>
      </c>
      <c r="F206" s="18">
        <v>2417073.342126875</v>
      </c>
      <c r="G206" s="6" t="s">
        <v>129</v>
      </c>
    </row>
    <row r="207" spans="1:7" x14ac:dyDescent="0.25">
      <c r="A207" s="6" t="s">
        <v>19</v>
      </c>
      <c r="B207" s="6" t="s">
        <v>367</v>
      </c>
      <c r="C207" s="6" t="s">
        <v>370</v>
      </c>
      <c r="D207" s="6" t="s">
        <v>132</v>
      </c>
      <c r="E207" s="9">
        <v>1202.5240508093907</v>
      </c>
      <c r="F207" s="18">
        <v>2417073.342126875</v>
      </c>
      <c r="G207" s="6" t="s">
        <v>129</v>
      </c>
    </row>
    <row r="208" spans="1:7" x14ac:dyDescent="0.25">
      <c r="A208" s="6" t="s">
        <v>19</v>
      </c>
      <c r="B208" s="6" t="s">
        <v>367</v>
      </c>
      <c r="C208" s="6" t="s">
        <v>371</v>
      </c>
      <c r="D208" s="6" t="s">
        <v>132</v>
      </c>
      <c r="E208" s="9">
        <v>1202.5240508093907</v>
      </c>
      <c r="F208" s="18">
        <v>2417073.342126875</v>
      </c>
      <c r="G208" s="6" t="s">
        <v>129</v>
      </c>
    </row>
    <row r="209" spans="1:7" x14ac:dyDescent="0.25">
      <c r="A209" s="6" t="s">
        <v>19</v>
      </c>
      <c r="B209" s="6" t="s">
        <v>372</v>
      </c>
      <c r="C209" s="6" t="s">
        <v>373</v>
      </c>
      <c r="D209" s="6" t="s">
        <v>132</v>
      </c>
      <c r="E209" s="9">
        <v>1253.2156015889925</v>
      </c>
      <c r="F209" s="18">
        <v>2518963.359193875</v>
      </c>
      <c r="G209" s="6" t="s">
        <v>136</v>
      </c>
    </row>
    <row r="210" spans="1:7" x14ac:dyDescent="0.25">
      <c r="A210" s="6" t="s">
        <v>19</v>
      </c>
      <c r="B210" s="6" t="s">
        <v>372</v>
      </c>
      <c r="C210" s="6" t="s">
        <v>374</v>
      </c>
      <c r="D210" s="6" t="s">
        <v>132</v>
      </c>
      <c r="E210" s="9">
        <v>1253.2156015889925</v>
      </c>
      <c r="F210" s="18">
        <v>2518963.359193875</v>
      </c>
      <c r="G210" s="6" t="s">
        <v>129</v>
      </c>
    </row>
    <row r="211" spans="1:7" x14ac:dyDescent="0.25">
      <c r="A211" s="6" t="s">
        <v>19</v>
      </c>
      <c r="B211" s="6" t="s">
        <v>372</v>
      </c>
      <c r="C211" s="6" t="s">
        <v>375</v>
      </c>
      <c r="D211" s="6" t="s">
        <v>132</v>
      </c>
      <c r="E211" s="9">
        <v>1253.2156015889925</v>
      </c>
      <c r="F211" s="18">
        <v>2518963.359193875</v>
      </c>
      <c r="G211" s="6" t="s">
        <v>129</v>
      </c>
    </row>
    <row r="212" spans="1:7" x14ac:dyDescent="0.25">
      <c r="A212" s="6" t="s">
        <v>19</v>
      </c>
      <c r="B212" s="6" t="s">
        <v>372</v>
      </c>
      <c r="C212" s="6" t="s">
        <v>376</v>
      </c>
      <c r="D212" s="6" t="s">
        <v>132</v>
      </c>
      <c r="E212" s="9">
        <v>1253.2156015889925</v>
      </c>
      <c r="F212" s="18">
        <v>2518963.359193875</v>
      </c>
      <c r="G212" s="6" t="s">
        <v>136</v>
      </c>
    </row>
    <row r="213" spans="1:7" x14ac:dyDescent="0.25">
      <c r="A213" s="6" t="s">
        <v>19</v>
      </c>
      <c r="B213" s="6" t="s">
        <v>377</v>
      </c>
      <c r="C213" s="6" t="s">
        <v>378</v>
      </c>
      <c r="D213" s="6" t="s">
        <v>132</v>
      </c>
      <c r="E213" s="9">
        <v>1303.8508596969905</v>
      </c>
      <c r="F213" s="18">
        <v>2620740.227990951</v>
      </c>
      <c r="G213" s="6" t="s">
        <v>129</v>
      </c>
    </row>
    <row r="214" spans="1:7" x14ac:dyDescent="0.25">
      <c r="A214" s="6" t="s">
        <v>19</v>
      </c>
      <c r="B214" s="6" t="s">
        <v>377</v>
      </c>
      <c r="C214" s="6" t="s">
        <v>379</v>
      </c>
      <c r="D214" s="6" t="s">
        <v>132</v>
      </c>
      <c r="E214" s="9">
        <v>1303.8508596969905</v>
      </c>
      <c r="F214" s="18">
        <v>2620740.227990951</v>
      </c>
      <c r="G214" s="6" t="s">
        <v>129</v>
      </c>
    </row>
    <row r="215" spans="1:7" x14ac:dyDescent="0.25">
      <c r="A215" s="6" t="s">
        <v>19</v>
      </c>
      <c r="B215" s="6" t="s">
        <v>377</v>
      </c>
      <c r="C215" s="6" t="s">
        <v>380</v>
      </c>
      <c r="D215" s="6" t="s">
        <v>132</v>
      </c>
      <c r="E215" s="9">
        <v>1303.8508596969905</v>
      </c>
      <c r="F215" s="18">
        <v>2620740.227990951</v>
      </c>
      <c r="G215" s="6" t="s">
        <v>134</v>
      </c>
    </row>
    <row r="216" spans="1:7" x14ac:dyDescent="0.25">
      <c r="A216" s="6" t="s">
        <v>19</v>
      </c>
      <c r="B216" s="6" t="s">
        <v>377</v>
      </c>
      <c r="C216" s="6" t="s">
        <v>381</v>
      </c>
      <c r="D216" s="6" t="s">
        <v>132</v>
      </c>
      <c r="E216" s="9">
        <v>1303.8508596969905</v>
      </c>
      <c r="F216" s="18">
        <v>2620740.227990951</v>
      </c>
      <c r="G216" s="6" t="s">
        <v>136</v>
      </c>
    </row>
    <row r="217" spans="1:7" x14ac:dyDescent="0.25">
      <c r="A217" s="6" t="s">
        <v>19</v>
      </c>
      <c r="B217" s="6" t="s">
        <v>382</v>
      </c>
      <c r="C217" s="6" t="s">
        <v>383</v>
      </c>
      <c r="D217" s="6" t="s">
        <v>132</v>
      </c>
      <c r="E217" s="9">
        <v>1354.711288491405</v>
      </c>
      <c r="F217" s="18">
        <v>2722969.6898677237</v>
      </c>
      <c r="G217" s="6" t="s">
        <v>129</v>
      </c>
    </row>
    <row r="218" spans="1:7" x14ac:dyDescent="0.25">
      <c r="A218" s="6" t="s">
        <v>19</v>
      </c>
      <c r="B218" s="6" t="s">
        <v>382</v>
      </c>
      <c r="C218" s="6" t="s">
        <v>384</v>
      </c>
      <c r="D218" s="6" t="s">
        <v>132</v>
      </c>
      <c r="E218" s="9">
        <v>1354.711288491405</v>
      </c>
      <c r="F218" s="18">
        <v>2722969.6898677237</v>
      </c>
      <c r="G218" s="6" t="s">
        <v>129</v>
      </c>
    </row>
    <row r="219" spans="1:7" x14ac:dyDescent="0.25">
      <c r="A219" s="6" t="s">
        <v>19</v>
      </c>
      <c r="B219" s="6" t="s">
        <v>382</v>
      </c>
      <c r="C219" s="6" t="s">
        <v>385</v>
      </c>
      <c r="D219" s="6" t="s">
        <v>132</v>
      </c>
      <c r="E219" s="9">
        <v>1354.711288491405</v>
      </c>
      <c r="F219" s="18">
        <v>2722969.6898677237</v>
      </c>
      <c r="G219" s="6" t="s">
        <v>129</v>
      </c>
    </row>
    <row r="220" spans="1:7" x14ac:dyDescent="0.25">
      <c r="A220" s="6" t="s">
        <v>19</v>
      </c>
      <c r="B220" s="6" t="s">
        <v>382</v>
      </c>
      <c r="C220" s="6" t="s">
        <v>386</v>
      </c>
      <c r="D220" s="6" t="s">
        <v>132</v>
      </c>
      <c r="E220" s="9">
        <v>1354.711288491405</v>
      </c>
      <c r="F220" s="18">
        <v>2722969.6898677237</v>
      </c>
      <c r="G220" s="6" t="s">
        <v>136</v>
      </c>
    </row>
    <row r="221" spans="1:7" x14ac:dyDescent="0.25">
      <c r="A221" s="6" t="s">
        <v>19</v>
      </c>
      <c r="B221" s="6" t="s">
        <v>387</v>
      </c>
      <c r="C221" s="6" t="s">
        <v>388</v>
      </c>
      <c r="D221" s="6" t="s">
        <v>132</v>
      </c>
      <c r="E221" s="9">
        <v>1405.7968879722364</v>
      </c>
      <c r="F221" s="18">
        <v>2825651.7448241953</v>
      </c>
      <c r="G221" s="6" t="s">
        <v>129</v>
      </c>
    </row>
    <row r="222" spans="1:7" x14ac:dyDescent="0.25">
      <c r="A222" s="6" t="s">
        <v>19</v>
      </c>
      <c r="B222" s="6" t="s">
        <v>387</v>
      </c>
      <c r="C222" s="6" t="s">
        <v>389</v>
      </c>
      <c r="D222" s="6" t="s">
        <v>132</v>
      </c>
      <c r="E222" s="9">
        <v>1405.7968879722364</v>
      </c>
      <c r="F222" s="18">
        <v>2825651.7448241953</v>
      </c>
      <c r="G222" s="6" t="s">
        <v>129</v>
      </c>
    </row>
    <row r="223" spans="1:7" x14ac:dyDescent="0.25">
      <c r="A223" s="6" t="s">
        <v>19</v>
      </c>
      <c r="B223" s="6" t="s">
        <v>387</v>
      </c>
      <c r="C223" s="6" t="s">
        <v>390</v>
      </c>
      <c r="D223" s="6" t="s">
        <v>132</v>
      </c>
      <c r="E223" s="9">
        <v>1405.7968879722364</v>
      </c>
      <c r="F223" s="18">
        <v>2825651.7448241953</v>
      </c>
      <c r="G223" s="6" t="s">
        <v>136</v>
      </c>
    </row>
    <row r="224" spans="1:7" x14ac:dyDescent="0.25">
      <c r="A224" s="6" t="s">
        <v>19</v>
      </c>
      <c r="B224" s="6" t="s">
        <v>387</v>
      </c>
      <c r="C224" s="6" t="s">
        <v>391</v>
      </c>
      <c r="D224" s="6" t="s">
        <v>132</v>
      </c>
      <c r="E224" s="9">
        <v>1405.7968879722364</v>
      </c>
      <c r="F224" s="18">
        <v>2825651.7448241953</v>
      </c>
      <c r="G224" s="6" t="s">
        <v>134</v>
      </c>
    </row>
    <row r="225" spans="1:7" x14ac:dyDescent="0.25">
      <c r="A225" s="6" t="s">
        <v>19</v>
      </c>
      <c r="B225" s="6" t="s">
        <v>392</v>
      </c>
      <c r="C225" s="6" t="s">
        <v>393</v>
      </c>
      <c r="D225" s="6" t="s">
        <v>132</v>
      </c>
      <c r="E225" s="9">
        <v>1457.0513654678805</v>
      </c>
      <c r="F225" s="18">
        <v>2928673.24459044</v>
      </c>
      <c r="G225" s="6" t="s">
        <v>129</v>
      </c>
    </row>
    <row r="226" spans="1:7" x14ac:dyDescent="0.25">
      <c r="A226" s="6" t="s">
        <v>19</v>
      </c>
      <c r="B226" s="6" t="s">
        <v>392</v>
      </c>
      <c r="C226" s="6" t="s">
        <v>394</v>
      </c>
      <c r="D226" s="6" t="s">
        <v>132</v>
      </c>
      <c r="E226" s="9">
        <v>1457.0513654678805</v>
      </c>
      <c r="F226" s="18">
        <v>2928673.24459044</v>
      </c>
      <c r="G226" s="6" t="s">
        <v>129</v>
      </c>
    </row>
    <row r="227" spans="1:7" x14ac:dyDescent="0.25">
      <c r="A227" s="6" t="s">
        <v>19</v>
      </c>
      <c r="B227" s="6" t="s">
        <v>392</v>
      </c>
      <c r="C227" s="6" t="s">
        <v>395</v>
      </c>
      <c r="D227" s="6" t="s">
        <v>132</v>
      </c>
      <c r="E227" s="9">
        <v>1457.0513654678805</v>
      </c>
      <c r="F227" s="18">
        <v>2928673.24459044</v>
      </c>
      <c r="G227" s="6" t="s">
        <v>136</v>
      </c>
    </row>
    <row r="228" spans="1:7" x14ac:dyDescent="0.25">
      <c r="A228" s="6" t="s">
        <v>19</v>
      </c>
      <c r="B228" s="6" t="s">
        <v>392</v>
      </c>
      <c r="C228" s="6" t="s">
        <v>396</v>
      </c>
      <c r="D228" s="6" t="s">
        <v>132</v>
      </c>
      <c r="E228" s="9">
        <v>1457.0513654678805</v>
      </c>
      <c r="F228" s="18">
        <v>2928673.24459044</v>
      </c>
      <c r="G228" s="6" t="s">
        <v>136</v>
      </c>
    </row>
    <row r="229" spans="1:7" x14ac:dyDescent="0.25">
      <c r="A229" s="6" t="s">
        <v>19</v>
      </c>
      <c r="B229" s="6" t="s">
        <v>397</v>
      </c>
      <c r="C229" s="6" t="s">
        <v>398</v>
      </c>
      <c r="D229" s="6" t="s">
        <v>132</v>
      </c>
      <c r="E229" s="9">
        <v>1508.418428306733</v>
      </c>
      <c r="F229" s="18">
        <v>3031921.040896533</v>
      </c>
      <c r="G229" s="6" t="s">
        <v>136</v>
      </c>
    </row>
    <row r="230" spans="1:7" x14ac:dyDescent="0.25">
      <c r="A230" s="6" t="s">
        <v>19</v>
      </c>
      <c r="B230" s="6" t="s">
        <v>397</v>
      </c>
      <c r="C230" s="6" t="s">
        <v>399</v>
      </c>
      <c r="D230" s="6" t="s">
        <v>132</v>
      </c>
      <c r="E230" s="9">
        <v>1508.418428306733</v>
      </c>
      <c r="F230" s="18">
        <v>3031921.040896533</v>
      </c>
      <c r="G230" s="6" t="s">
        <v>129</v>
      </c>
    </row>
    <row r="231" spans="1:7" x14ac:dyDescent="0.25">
      <c r="A231" s="6" t="s">
        <v>19</v>
      </c>
      <c r="B231" s="6" t="s">
        <v>397</v>
      </c>
      <c r="C231" s="6" t="s">
        <v>400</v>
      </c>
      <c r="D231" s="6" t="s">
        <v>132</v>
      </c>
      <c r="E231" s="9">
        <v>1508.418428306733</v>
      </c>
      <c r="F231" s="18">
        <v>3031921.040896533</v>
      </c>
      <c r="G231" s="6" t="s">
        <v>129</v>
      </c>
    </row>
    <row r="232" spans="1:7" x14ac:dyDescent="0.25">
      <c r="A232" s="6" t="s">
        <v>19</v>
      </c>
      <c r="B232" s="6" t="s">
        <v>397</v>
      </c>
      <c r="C232" s="6" t="s">
        <v>401</v>
      </c>
      <c r="D232" s="6" t="s">
        <v>132</v>
      </c>
      <c r="E232" s="9">
        <v>1508.418428306733</v>
      </c>
      <c r="F232" s="18">
        <v>3031921.040896533</v>
      </c>
      <c r="G232" s="6" t="s">
        <v>129</v>
      </c>
    </row>
    <row r="233" spans="1:7" x14ac:dyDescent="0.25">
      <c r="A233" s="6" t="s">
        <v>19</v>
      </c>
      <c r="B233" s="6" t="s">
        <v>402</v>
      </c>
      <c r="C233" s="6" t="s">
        <v>403</v>
      </c>
      <c r="D233" s="6" t="s">
        <v>132</v>
      </c>
      <c r="E233" s="9">
        <v>1559.84178381719</v>
      </c>
      <c r="F233" s="18">
        <v>3135281.9854725515</v>
      </c>
      <c r="G233" s="6" t="s">
        <v>129</v>
      </c>
    </row>
    <row r="234" spans="1:7" x14ac:dyDescent="0.25">
      <c r="A234" s="6" t="s">
        <v>19</v>
      </c>
      <c r="B234" s="6" t="s">
        <v>402</v>
      </c>
      <c r="C234" s="6" t="s">
        <v>404</v>
      </c>
      <c r="D234" s="6" t="s">
        <v>132</v>
      </c>
      <c r="E234" s="9">
        <v>1559.84178381719</v>
      </c>
      <c r="F234" s="18">
        <v>3135281.9854725515</v>
      </c>
      <c r="G234" s="6" t="s">
        <v>136</v>
      </c>
    </row>
    <row r="235" spans="1:7" x14ac:dyDescent="0.25">
      <c r="A235" s="6" t="s">
        <v>19</v>
      </c>
      <c r="B235" s="6" t="s">
        <v>402</v>
      </c>
      <c r="C235" s="6" t="s">
        <v>405</v>
      </c>
      <c r="D235" s="6" t="s">
        <v>132</v>
      </c>
      <c r="E235" s="9">
        <v>1559.84178381719</v>
      </c>
      <c r="F235" s="18">
        <v>3135281.9854725515</v>
      </c>
      <c r="G235" s="6" t="s">
        <v>129</v>
      </c>
    </row>
    <row r="236" spans="1:7" x14ac:dyDescent="0.25">
      <c r="A236" s="6" t="s">
        <v>19</v>
      </c>
      <c r="B236" s="6" t="s">
        <v>402</v>
      </c>
      <c r="C236" s="6" t="s">
        <v>406</v>
      </c>
      <c r="D236" s="6" t="s">
        <v>132</v>
      </c>
      <c r="E236" s="9">
        <v>1559.84178381719</v>
      </c>
      <c r="F236" s="18">
        <v>3135281.9854725515</v>
      </c>
      <c r="G236" s="6" t="s">
        <v>129</v>
      </c>
    </row>
    <row r="237" spans="1:7" x14ac:dyDescent="0.25">
      <c r="A237" s="6" t="s">
        <v>19</v>
      </c>
      <c r="B237" s="6" t="s">
        <v>407</v>
      </c>
      <c r="C237" s="6" t="s">
        <v>408</v>
      </c>
      <c r="D237" s="6" t="s">
        <v>132</v>
      </c>
      <c r="E237" s="9">
        <v>1611.3214319992508</v>
      </c>
      <c r="F237" s="18">
        <v>3238756.078318494</v>
      </c>
      <c r="G237" s="6" t="s">
        <v>129</v>
      </c>
    </row>
    <row r="238" spans="1:7" x14ac:dyDescent="0.25">
      <c r="A238" s="6" t="s">
        <v>19</v>
      </c>
      <c r="B238" s="6" t="s">
        <v>407</v>
      </c>
      <c r="C238" s="6" t="s">
        <v>409</v>
      </c>
      <c r="D238" s="6" t="s">
        <v>132</v>
      </c>
      <c r="E238" s="9">
        <v>1611.3214319992508</v>
      </c>
      <c r="F238" s="18">
        <v>3238756.078318494</v>
      </c>
      <c r="G238" s="6" t="s">
        <v>129</v>
      </c>
    </row>
    <row r="239" spans="1:7" x14ac:dyDescent="0.25">
      <c r="A239" s="6" t="s">
        <v>19</v>
      </c>
      <c r="B239" s="6" t="s">
        <v>407</v>
      </c>
      <c r="C239" s="6" t="s">
        <v>410</v>
      </c>
      <c r="D239" s="6" t="s">
        <v>132</v>
      </c>
      <c r="E239" s="9">
        <v>1611.3214319992508</v>
      </c>
      <c r="F239" s="18">
        <v>3238756.078318494</v>
      </c>
      <c r="G239" s="6" t="s">
        <v>129</v>
      </c>
    </row>
    <row r="240" spans="1:7" x14ac:dyDescent="0.25">
      <c r="A240" s="6" t="s">
        <v>19</v>
      </c>
      <c r="B240" s="6" t="s">
        <v>407</v>
      </c>
      <c r="C240" s="6" t="s">
        <v>411</v>
      </c>
      <c r="D240" s="6" t="s">
        <v>132</v>
      </c>
      <c r="E240" s="9">
        <v>1611.3214319992508</v>
      </c>
      <c r="F240" s="18">
        <v>3238756.078318494</v>
      </c>
      <c r="G240" s="6" t="s">
        <v>136</v>
      </c>
    </row>
    <row r="241" spans="1:7" x14ac:dyDescent="0.25">
      <c r="A241" s="6" t="s">
        <v>19</v>
      </c>
      <c r="B241" s="6" t="s">
        <v>412</v>
      </c>
      <c r="C241" s="6" t="s">
        <v>413</v>
      </c>
      <c r="D241" s="6" t="s">
        <v>132</v>
      </c>
      <c r="E241" s="9">
        <v>1662.3788851442803</v>
      </c>
      <c r="F241" s="18">
        <v>3341381.5591400033</v>
      </c>
      <c r="G241" s="6" t="s">
        <v>129</v>
      </c>
    </row>
    <row r="242" spans="1:7" x14ac:dyDescent="0.25">
      <c r="A242" s="6" t="s">
        <v>19</v>
      </c>
      <c r="B242" s="6" t="s">
        <v>412</v>
      </c>
      <c r="C242" s="6" t="s">
        <v>414</v>
      </c>
      <c r="D242" s="6" t="s">
        <v>132</v>
      </c>
      <c r="E242" s="9">
        <v>1662.3788851442803</v>
      </c>
      <c r="F242" s="18">
        <v>3341381.5591400033</v>
      </c>
      <c r="G242" s="6" t="s">
        <v>129</v>
      </c>
    </row>
    <row r="243" spans="1:7" x14ac:dyDescent="0.25">
      <c r="A243" s="6" t="s">
        <v>19</v>
      </c>
      <c r="B243" s="6" t="s">
        <v>412</v>
      </c>
      <c r="C243" s="6" t="s">
        <v>415</v>
      </c>
      <c r="D243" s="6" t="s">
        <v>132</v>
      </c>
      <c r="E243" s="9">
        <v>1662.3788851442803</v>
      </c>
      <c r="F243" s="18">
        <v>3341381.5591400033</v>
      </c>
      <c r="G243" s="6" t="s">
        <v>136</v>
      </c>
    </row>
    <row r="244" spans="1:7" x14ac:dyDescent="0.25">
      <c r="A244" s="6" t="s">
        <v>19</v>
      </c>
      <c r="B244" s="6" t="s">
        <v>412</v>
      </c>
      <c r="C244" s="6" t="s">
        <v>416</v>
      </c>
      <c r="D244" s="6" t="s">
        <v>132</v>
      </c>
      <c r="E244" s="9">
        <v>1662.3788851442803</v>
      </c>
      <c r="F244" s="18">
        <v>3341381.5591400033</v>
      </c>
      <c r="G244" s="6" t="s">
        <v>136</v>
      </c>
    </row>
    <row r="245" spans="1:7" x14ac:dyDescent="0.25">
      <c r="A245" s="6" t="s">
        <v>19</v>
      </c>
      <c r="B245" s="6" t="s">
        <v>417</v>
      </c>
      <c r="C245" s="6" t="s">
        <v>418</v>
      </c>
      <c r="D245" s="6" t="s">
        <v>132</v>
      </c>
      <c r="E245" s="9">
        <v>1713.8303869905394</v>
      </c>
      <c r="F245" s="18">
        <v>3444799.0778509844</v>
      </c>
      <c r="G245" s="6" t="s">
        <v>136</v>
      </c>
    </row>
    <row r="246" spans="1:7" x14ac:dyDescent="0.25">
      <c r="A246" s="6" t="s">
        <v>19</v>
      </c>
      <c r="B246" s="6" t="s">
        <v>417</v>
      </c>
      <c r="C246" s="6" t="s">
        <v>419</v>
      </c>
      <c r="D246" s="6" t="s">
        <v>132</v>
      </c>
      <c r="E246" s="9">
        <v>1713.8303869905394</v>
      </c>
      <c r="F246" s="18">
        <v>3444799.0778509844</v>
      </c>
      <c r="G246" s="6" t="s">
        <v>134</v>
      </c>
    </row>
    <row r="247" spans="1:7" x14ac:dyDescent="0.25">
      <c r="A247" s="6" t="s">
        <v>19</v>
      </c>
      <c r="B247" s="6" t="s">
        <v>417</v>
      </c>
      <c r="C247" s="6" t="s">
        <v>420</v>
      </c>
      <c r="D247" s="6" t="s">
        <v>132</v>
      </c>
      <c r="E247" s="9">
        <v>1713.8303869905394</v>
      </c>
      <c r="F247" s="18">
        <v>3444799.0778509844</v>
      </c>
      <c r="G247" s="6" t="s">
        <v>129</v>
      </c>
    </row>
    <row r="248" spans="1:7" x14ac:dyDescent="0.25">
      <c r="A248" s="6" t="s">
        <v>19</v>
      </c>
      <c r="B248" s="6" t="s">
        <v>417</v>
      </c>
      <c r="C248" s="6" t="s">
        <v>421</v>
      </c>
      <c r="D248" s="6" t="s">
        <v>132</v>
      </c>
      <c r="E248" s="9">
        <v>1713.8303869905394</v>
      </c>
      <c r="F248" s="18">
        <v>3444799.0778509844</v>
      </c>
      <c r="G248" s="6" t="s">
        <v>129</v>
      </c>
    </row>
    <row r="249" spans="1:7" x14ac:dyDescent="0.25">
      <c r="A249" s="6" t="s">
        <v>19</v>
      </c>
      <c r="B249" s="6" t="s">
        <v>422</v>
      </c>
      <c r="C249" s="6" t="s">
        <v>423</v>
      </c>
      <c r="D249" s="6" t="s">
        <v>132</v>
      </c>
      <c r="E249" s="9">
        <v>1764.747108456558</v>
      </c>
      <c r="F249" s="18">
        <v>3547141.6879976816</v>
      </c>
      <c r="G249" s="6" t="s">
        <v>129</v>
      </c>
    </row>
    <row r="250" spans="1:7" x14ac:dyDescent="0.25">
      <c r="A250" s="6" t="s">
        <v>19</v>
      </c>
      <c r="B250" s="6" t="s">
        <v>422</v>
      </c>
      <c r="C250" s="6" t="s">
        <v>424</v>
      </c>
      <c r="D250" s="6" t="s">
        <v>132</v>
      </c>
      <c r="E250" s="9">
        <v>1764.747108456558</v>
      </c>
      <c r="F250" s="18">
        <v>3547141.6879976816</v>
      </c>
      <c r="G250" s="6" t="s">
        <v>129</v>
      </c>
    </row>
    <row r="251" spans="1:7" x14ac:dyDescent="0.25">
      <c r="A251" s="6" t="s">
        <v>19</v>
      </c>
      <c r="B251" s="6" t="s">
        <v>422</v>
      </c>
      <c r="C251" s="6" t="s">
        <v>425</v>
      </c>
      <c r="D251" s="6" t="s">
        <v>132</v>
      </c>
      <c r="E251" s="9">
        <v>1764.747108456558</v>
      </c>
      <c r="F251" s="18">
        <v>3547141.6879976816</v>
      </c>
      <c r="G251" s="6" t="s">
        <v>134</v>
      </c>
    </row>
    <row r="252" spans="1:7" x14ac:dyDescent="0.25">
      <c r="A252" s="6" t="s">
        <v>19</v>
      </c>
      <c r="B252" s="6" t="s">
        <v>422</v>
      </c>
      <c r="C252" s="6" t="s">
        <v>426</v>
      </c>
      <c r="D252" s="6" t="s">
        <v>132</v>
      </c>
      <c r="E252" s="9">
        <v>1764.747108456558</v>
      </c>
      <c r="F252" s="18">
        <v>3547141.6879976816</v>
      </c>
      <c r="G252" s="6" t="s">
        <v>136</v>
      </c>
    </row>
    <row r="253" spans="1:7" x14ac:dyDescent="0.25">
      <c r="A253" s="6" t="s">
        <v>19</v>
      </c>
      <c r="B253" s="6" t="s">
        <v>427</v>
      </c>
      <c r="C253" s="6" t="s">
        <v>428</v>
      </c>
      <c r="D253" s="6" t="s">
        <v>132</v>
      </c>
      <c r="E253" s="9">
        <v>1815.5512445793686</v>
      </c>
      <c r="F253" s="18">
        <v>3649258.001604531</v>
      </c>
      <c r="G253" s="6" t="s">
        <v>129</v>
      </c>
    </row>
    <row r="254" spans="1:7" x14ac:dyDescent="0.25">
      <c r="A254" s="6" t="s">
        <v>19</v>
      </c>
      <c r="B254" s="6" t="s">
        <v>427</v>
      </c>
      <c r="C254" s="6" t="s">
        <v>429</v>
      </c>
      <c r="D254" s="6" t="s">
        <v>132</v>
      </c>
      <c r="E254" s="9">
        <v>1815.5512445793686</v>
      </c>
      <c r="F254" s="18">
        <v>3649258.001604531</v>
      </c>
      <c r="G254" s="6" t="s">
        <v>129</v>
      </c>
    </row>
    <row r="255" spans="1:7" x14ac:dyDescent="0.25">
      <c r="A255" s="6" t="s">
        <v>19</v>
      </c>
      <c r="B255" s="6" t="s">
        <v>427</v>
      </c>
      <c r="C255" s="6" t="s">
        <v>430</v>
      </c>
      <c r="D255" s="6" t="s">
        <v>132</v>
      </c>
      <c r="E255" s="9">
        <v>1815.5512445793686</v>
      </c>
      <c r="F255" s="18">
        <v>3649258.001604531</v>
      </c>
      <c r="G255" s="6" t="s">
        <v>129</v>
      </c>
    </row>
    <row r="256" spans="1:7" x14ac:dyDescent="0.25">
      <c r="A256" s="6" t="s">
        <v>19</v>
      </c>
      <c r="B256" s="6" t="s">
        <v>427</v>
      </c>
      <c r="C256" s="6" t="s">
        <v>431</v>
      </c>
      <c r="D256" s="6" t="s">
        <v>132</v>
      </c>
      <c r="E256" s="9">
        <v>1815.5512445793686</v>
      </c>
      <c r="F256" s="18">
        <v>3649258.001604531</v>
      </c>
      <c r="G256" s="6" t="s">
        <v>136</v>
      </c>
    </row>
    <row r="257" spans="1:7" x14ac:dyDescent="0.25">
      <c r="A257" s="6" t="s">
        <v>19</v>
      </c>
      <c r="B257" s="6" t="s">
        <v>432</v>
      </c>
      <c r="C257" s="6" t="s">
        <v>433</v>
      </c>
      <c r="D257" s="6" t="s">
        <v>132</v>
      </c>
      <c r="E257" s="9">
        <v>1866.1583563515642</v>
      </c>
      <c r="F257" s="18">
        <v>3750978.296266644</v>
      </c>
      <c r="G257" s="6" t="s">
        <v>129</v>
      </c>
    </row>
    <row r="258" spans="1:7" x14ac:dyDescent="0.25">
      <c r="A258" s="6" t="s">
        <v>19</v>
      </c>
      <c r="B258" s="6" t="s">
        <v>432</v>
      </c>
      <c r="C258" s="6" t="s">
        <v>434</v>
      </c>
      <c r="D258" s="6" t="s">
        <v>132</v>
      </c>
      <c r="E258" s="9">
        <v>1866.1583563515642</v>
      </c>
      <c r="F258" s="18">
        <v>3750978.296266644</v>
      </c>
      <c r="G258" s="6" t="s">
        <v>136</v>
      </c>
    </row>
    <row r="259" spans="1:7" x14ac:dyDescent="0.25">
      <c r="A259" s="6" t="s">
        <v>19</v>
      </c>
      <c r="B259" s="6" t="s">
        <v>432</v>
      </c>
      <c r="C259" s="6" t="s">
        <v>435</v>
      </c>
      <c r="D259" s="6" t="s">
        <v>132</v>
      </c>
      <c r="E259" s="9">
        <v>1866.1583563515642</v>
      </c>
      <c r="F259" s="18">
        <v>3750978.296266644</v>
      </c>
      <c r="G259" s="6" t="s">
        <v>136</v>
      </c>
    </row>
    <row r="260" spans="1:7" x14ac:dyDescent="0.25">
      <c r="A260" s="6" t="s">
        <v>19</v>
      </c>
      <c r="B260" s="6" t="s">
        <v>432</v>
      </c>
      <c r="C260" s="6" t="s">
        <v>436</v>
      </c>
      <c r="D260" s="6" t="s">
        <v>132</v>
      </c>
      <c r="E260" s="9">
        <v>1866.1583563515642</v>
      </c>
      <c r="F260" s="18">
        <v>3750978.296266644</v>
      </c>
      <c r="G260" s="6" t="s">
        <v>129</v>
      </c>
    </row>
    <row r="261" spans="1:7" x14ac:dyDescent="0.25">
      <c r="A261" s="6" t="s">
        <v>19</v>
      </c>
      <c r="B261" s="6" t="s">
        <v>437</v>
      </c>
      <c r="C261" s="6" t="s">
        <v>438</v>
      </c>
      <c r="D261" s="6" t="s">
        <v>132</v>
      </c>
      <c r="E261" s="9">
        <v>1916.5965901089469</v>
      </c>
      <c r="F261" s="18">
        <v>3852359.146118983</v>
      </c>
      <c r="G261" s="6" t="s">
        <v>136</v>
      </c>
    </row>
    <row r="262" spans="1:7" x14ac:dyDescent="0.25">
      <c r="A262" s="6" t="s">
        <v>19</v>
      </c>
      <c r="B262" s="6" t="s">
        <v>437</v>
      </c>
      <c r="C262" s="6" t="s">
        <v>439</v>
      </c>
      <c r="D262" s="6" t="s">
        <v>132</v>
      </c>
      <c r="E262" s="9">
        <v>1916.5965901089469</v>
      </c>
      <c r="F262" s="18">
        <v>3852359.146118983</v>
      </c>
      <c r="G262" s="6" t="s">
        <v>129</v>
      </c>
    </row>
    <row r="263" spans="1:7" x14ac:dyDescent="0.25">
      <c r="A263" s="6" t="s">
        <v>19</v>
      </c>
      <c r="B263" s="6" t="s">
        <v>437</v>
      </c>
      <c r="C263" s="6" t="s">
        <v>440</v>
      </c>
      <c r="D263" s="6" t="s">
        <v>132</v>
      </c>
      <c r="E263" s="9">
        <v>1916.5965901089469</v>
      </c>
      <c r="F263" s="18">
        <v>3852359.146118983</v>
      </c>
      <c r="G263" s="6" t="s">
        <v>129</v>
      </c>
    </row>
    <row r="264" spans="1:7" x14ac:dyDescent="0.25">
      <c r="A264" s="6" t="s">
        <v>19</v>
      </c>
      <c r="B264" s="6" t="s">
        <v>437</v>
      </c>
      <c r="C264" s="6" t="s">
        <v>441</v>
      </c>
      <c r="D264" s="6" t="s">
        <v>132</v>
      </c>
      <c r="E264" s="9">
        <v>1916.5965901089469</v>
      </c>
      <c r="F264" s="18">
        <v>3852359.146118983</v>
      </c>
      <c r="G264" s="6" t="s">
        <v>134</v>
      </c>
    </row>
    <row r="265" spans="1:7" x14ac:dyDescent="0.25">
      <c r="A265" s="6" t="s">
        <v>19</v>
      </c>
      <c r="B265" s="6" t="s">
        <v>442</v>
      </c>
      <c r="C265" s="6" t="s">
        <v>443</v>
      </c>
      <c r="D265" s="6" t="s">
        <v>132</v>
      </c>
      <c r="E265" s="9">
        <v>1966.781506844111</v>
      </c>
      <c r="F265" s="18">
        <v>3953230.828756663</v>
      </c>
      <c r="G265" s="6" t="s">
        <v>136</v>
      </c>
    </row>
    <row r="266" spans="1:7" x14ac:dyDescent="0.25">
      <c r="A266" s="6" t="s">
        <v>19</v>
      </c>
      <c r="B266" s="6" t="s">
        <v>442</v>
      </c>
      <c r="C266" s="6" t="s">
        <v>444</v>
      </c>
      <c r="D266" s="6" t="s">
        <v>132</v>
      </c>
      <c r="E266" s="9">
        <v>1966.781506844111</v>
      </c>
      <c r="F266" s="18">
        <v>3953230.828756663</v>
      </c>
      <c r="G266" s="6" t="s">
        <v>136</v>
      </c>
    </row>
    <row r="267" spans="1:7" x14ac:dyDescent="0.25">
      <c r="A267" s="6" t="s">
        <v>19</v>
      </c>
      <c r="B267" s="6" t="s">
        <v>442</v>
      </c>
      <c r="C267" s="6" t="s">
        <v>445</v>
      </c>
      <c r="D267" s="6" t="s">
        <v>132</v>
      </c>
      <c r="E267" s="9">
        <v>1966.781506844111</v>
      </c>
      <c r="F267" s="18">
        <v>3953230.828756663</v>
      </c>
      <c r="G267" s="6" t="s">
        <v>129</v>
      </c>
    </row>
    <row r="268" spans="1:7" x14ac:dyDescent="0.25">
      <c r="A268" s="6" t="s">
        <v>19</v>
      </c>
      <c r="B268" s="6" t="s">
        <v>442</v>
      </c>
      <c r="C268" s="6" t="s">
        <v>446</v>
      </c>
      <c r="D268" s="6" t="s">
        <v>132</v>
      </c>
      <c r="E268" s="9">
        <v>1966.781506844111</v>
      </c>
      <c r="F268" s="18">
        <v>3953230.828756663</v>
      </c>
      <c r="G268" s="6" t="s">
        <v>129</v>
      </c>
    </row>
    <row r="269" spans="1:7" x14ac:dyDescent="0.25">
      <c r="A269" s="6" t="s">
        <v>19</v>
      </c>
      <c r="B269" s="6" t="s">
        <v>447</v>
      </c>
      <c r="C269" s="6" t="s">
        <v>448</v>
      </c>
      <c r="D269" s="6" t="s">
        <v>132</v>
      </c>
      <c r="E269" s="9">
        <v>2163.9747354737005</v>
      </c>
      <c r="F269" s="18">
        <v>4349589.218302138</v>
      </c>
      <c r="G269" s="6" t="s">
        <v>129</v>
      </c>
    </row>
    <row r="270" spans="1:7" x14ac:dyDescent="0.25">
      <c r="A270" s="6" t="s">
        <v>19</v>
      </c>
      <c r="B270" s="6" t="s">
        <v>447</v>
      </c>
      <c r="C270" s="6" t="s">
        <v>449</v>
      </c>
      <c r="D270" s="6" t="s">
        <v>132</v>
      </c>
      <c r="E270" s="9">
        <v>2163.9747354737005</v>
      </c>
      <c r="F270" s="18">
        <v>4349589.218302138</v>
      </c>
      <c r="G270" s="6" t="s">
        <v>136</v>
      </c>
    </row>
    <row r="271" spans="1:7" x14ac:dyDescent="0.25">
      <c r="A271" s="6" t="s">
        <v>19</v>
      </c>
      <c r="B271" s="6" t="s">
        <v>447</v>
      </c>
      <c r="C271" s="6" t="s">
        <v>450</v>
      </c>
      <c r="D271" s="6" t="s">
        <v>132</v>
      </c>
      <c r="E271" s="9">
        <v>2163.9747354737005</v>
      </c>
      <c r="F271" s="18">
        <v>4349589.218302138</v>
      </c>
      <c r="G271" s="6" t="s">
        <v>134</v>
      </c>
    </row>
    <row r="272" spans="1:7" x14ac:dyDescent="0.25">
      <c r="A272" s="6" t="s">
        <v>19</v>
      </c>
      <c r="B272" s="6" t="s">
        <v>447</v>
      </c>
      <c r="C272" s="6" t="s">
        <v>451</v>
      </c>
      <c r="D272" s="6" t="s">
        <v>132</v>
      </c>
      <c r="E272" s="9">
        <v>2163.9747354737005</v>
      </c>
      <c r="F272" s="18">
        <v>4349589.218302138</v>
      </c>
      <c r="G272" s="6" t="s">
        <v>129</v>
      </c>
    </row>
    <row r="273" spans="1:7" x14ac:dyDescent="0.25">
      <c r="A273" s="6" t="s">
        <v>19</v>
      </c>
      <c r="B273" s="6" t="s">
        <v>452</v>
      </c>
      <c r="C273" s="6" t="s">
        <v>453</v>
      </c>
      <c r="D273" s="6" t="s">
        <v>132</v>
      </c>
      <c r="E273" s="9">
        <v>2211.9642380163</v>
      </c>
      <c r="F273" s="18">
        <v>4446048.118412763</v>
      </c>
      <c r="G273" s="6" t="s">
        <v>134</v>
      </c>
    </row>
    <row r="274" spans="1:7" x14ac:dyDescent="0.25">
      <c r="A274" s="6" t="s">
        <v>19</v>
      </c>
      <c r="B274" s="6" t="s">
        <v>452</v>
      </c>
      <c r="C274" s="6" t="s">
        <v>454</v>
      </c>
      <c r="D274" s="6" t="s">
        <v>132</v>
      </c>
      <c r="E274" s="9">
        <v>2211.9642380163</v>
      </c>
      <c r="F274" s="18">
        <v>4446048.118412763</v>
      </c>
      <c r="G274" s="6" t="s">
        <v>136</v>
      </c>
    </row>
    <row r="275" spans="1:7" x14ac:dyDescent="0.25">
      <c r="A275" s="6" t="s">
        <v>19</v>
      </c>
      <c r="B275" s="6" t="s">
        <v>452</v>
      </c>
      <c r="C275" s="6" t="s">
        <v>455</v>
      </c>
      <c r="D275" s="6" t="s">
        <v>132</v>
      </c>
      <c r="E275" s="9">
        <v>2211.9642380163</v>
      </c>
      <c r="F275" s="18">
        <v>4446048.118412763</v>
      </c>
      <c r="G275" s="6" t="s">
        <v>129</v>
      </c>
    </row>
    <row r="276" spans="1:7" x14ac:dyDescent="0.25">
      <c r="A276" s="6" t="s">
        <v>19</v>
      </c>
      <c r="B276" s="6" t="s">
        <v>452</v>
      </c>
      <c r="C276" s="6" t="s">
        <v>456</v>
      </c>
      <c r="D276" s="6" t="s">
        <v>132</v>
      </c>
      <c r="E276" s="9">
        <v>2211.9642380163</v>
      </c>
      <c r="F276" s="18">
        <v>4446048.118412763</v>
      </c>
      <c r="G276" s="6" t="s">
        <v>129</v>
      </c>
    </row>
    <row r="277" spans="1:7" x14ac:dyDescent="0.25">
      <c r="A277" s="6" t="s">
        <v>19</v>
      </c>
      <c r="B277" s="6" t="s">
        <v>457</v>
      </c>
      <c r="C277" s="6" t="s">
        <v>458</v>
      </c>
      <c r="D277" s="6" t="s">
        <v>132</v>
      </c>
      <c r="E277" s="9">
        <v>2259.5315455218674</v>
      </c>
      <c r="F277" s="18">
        <v>4541658.406498954</v>
      </c>
      <c r="G277" s="6" t="s">
        <v>129</v>
      </c>
    </row>
    <row r="278" spans="1:7" x14ac:dyDescent="0.25">
      <c r="A278" s="6" t="s">
        <v>19</v>
      </c>
      <c r="B278" s="6" t="s">
        <v>457</v>
      </c>
      <c r="C278" s="6" t="s">
        <v>459</v>
      </c>
      <c r="D278" s="6" t="s">
        <v>132</v>
      </c>
      <c r="E278" s="9">
        <v>2259.5315455218674</v>
      </c>
      <c r="F278" s="18">
        <v>4541658.406498954</v>
      </c>
      <c r="G278" s="6" t="s">
        <v>129</v>
      </c>
    </row>
    <row r="279" spans="1:7" x14ac:dyDescent="0.25">
      <c r="A279" s="6" t="s">
        <v>19</v>
      </c>
      <c r="B279" s="6" t="s">
        <v>457</v>
      </c>
      <c r="C279" s="6" t="s">
        <v>460</v>
      </c>
      <c r="D279" s="6" t="s">
        <v>132</v>
      </c>
      <c r="E279" s="9">
        <v>2259.5315455218674</v>
      </c>
      <c r="F279" s="18">
        <v>4541658.406498954</v>
      </c>
      <c r="G279" s="6" t="s">
        <v>136</v>
      </c>
    </row>
    <row r="280" spans="1:7" x14ac:dyDescent="0.25">
      <c r="A280" s="6" t="s">
        <v>19</v>
      </c>
      <c r="B280" s="6" t="s">
        <v>457</v>
      </c>
      <c r="C280" s="6" t="s">
        <v>461</v>
      </c>
      <c r="D280" s="6" t="s">
        <v>132</v>
      </c>
      <c r="E280" s="9">
        <v>2259.5315455218674</v>
      </c>
      <c r="F280" s="18">
        <v>4541658.406498954</v>
      </c>
      <c r="G280" s="6" t="s">
        <v>134</v>
      </c>
    </row>
    <row r="281" spans="1:7" x14ac:dyDescent="0.25">
      <c r="A281" s="6" t="s">
        <v>19</v>
      </c>
      <c r="B281" s="6" t="s">
        <v>462</v>
      </c>
      <c r="C281" s="6" t="s">
        <v>463</v>
      </c>
      <c r="D281" s="6" t="s">
        <v>132</v>
      </c>
      <c r="E281" s="9">
        <v>2306.592218982997</v>
      </c>
      <c r="F281" s="18">
        <v>4636250.360155825</v>
      </c>
      <c r="G281" s="6" t="s">
        <v>136</v>
      </c>
    </row>
    <row r="282" spans="1:7" x14ac:dyDescent="0.25">
      <c r="A282" s="6" t="s">
        <v>19</v>
      </c>
      <c r="B282" s="6" t="s">
        <v>462</v>
      </c>
      <c r="C282" s="6" t="s">
        <v>464</v>
      </c>
      <c r="D282" s="6" t="s">
        <v>132</v>
      </c>
      <c r="E282" s="9">
        <v>2306.592218982997</v>
      </c>
      <c r="F282" s="18">
        <v>4636250.360155825</v>
      </c>
      <c r="G282" s="6" t="s">
        <v>129</v>
      </c>
    </row>
    <row r="283" spans="1:7" x14ac:dyDescent="0.25">
      <c r="A283" s="6" t="s">
        <v>19</v>
      </c>
      <c r="B283" s="6" t="s">
        <v>462</v>
      </c>
      <c r="C283" s="6" t="s">
        <v>465</v>
      </c>
      <c r="D283" s="6" t="s">
        <v>132</v>
      </c>
      <c r="E283" s="9">
        <v>2306.592218982997</v>
      </c>
      <c r="F283" s="18">
        <v>4636250.360155825</v>
      </c>
      <c r="G283" s="6" t="s">
        <v>129</v>
      </c>
    </row>
    <row r="284" spans="1:7" x14ac:dyDescent="0.25">
      <c r="A284" s="6" t="s">
        <v>19</v>
      </c>
      <c r="B284" s="6" t="s">
        <v>462</v>
      </c>
      <c r="C284" s="6" t="s">
        <v>466</v>
      </c>
      <c r="D284" s="6" t="s">
        <v>132</v>
      </c>
      <c r="E284" s="9">
        <v>2306.592218982997</v>
      </c>
      <c r="F284" s="18">
        <v>4636250.360155825</v>
      </c>
      <c r="G284" s="6" t="s">
        <v>134</v>
      </c>
    </row>
    <row r="285" spans="1:7" x14ac:dyDescent="0.25">
      <c r="A285" s="6" t="s">
        <v>19</v>
      </c>
      <c r="B285" s="6" t="s">
        <v>467</v>
      </c>
      <c r="C285" s="6" t="s">
        <v>468</v>
      </c>
      <c r="D285" s="6" t="s">
        <v>132</v>
      </c>
      <c r="E285" s="9">
        <v>2353.1462583996886</v>
      </c>
      <c r="F285" s="18">
        <v>4729823.979383374</v>
      </c>
      <c r="G285" s="6" t="s">
        <v>136</v>
      </c>
    </row>
    <row r="286" spans="1:7" x14ac:dyDescent="0.25">
      <c r="A286" s="6" t="s">
        <v>19</v>
      </c>
      <c r="B286" s="6" t="s">
        <v>467</v>
      </c>
      <c r="C286" s="6" t="s">
        <v>469</v>
      </c>
      <c r="D286" s="6" t="s">
        <v>132</v>
      </c>
      <c r="E286" s="9">
        <v>2353.1462583996886</v>
      </c>
      <c r="F286" s="18">
        <v>4729823.979383374</v>
      </c>
      <c r="G286" s="6" t="s">
        <v>129</v>
      </c>
    </row>
    <row r="287" spans="1:7" x14ac:dyDescent="0.25">
      <c r="A287" s="6" t="s">
        <v>19</v>
      </c>
      <c r="B287" s="6" t="s">
        <v>467</v>
      </c>
      <c r="C287" s="6" t="s">
        <v>470</v>
      </c>
      <c r="D287" s="6" t="s">
        <v>132</v>
      </c>
      <c r="E287" s="9">
        <v>2353.1462583996886</v>
      </c>
      <c r="F287" s="18">
        <v>4729823.979383374</v>
      </c>
      <c r="G287" s="6" t="s">
        <v>129</v>
      </c>
    </row>
    <row r="288" spans="1:7" x14ac:dyDescent="0.25">
      <c r="A288" s="6" t="s">
        <v>19</v>
      </c>
      <c r="B288" s="6" t="s">
        <v>467</v>
      </c>
      <c r="C288" s="6" t="s">
        <v>471</v>
      </c>
      <c r="D288" s="6" t="s">
        <v>132</v>
      </c>
      <c r="E288" s="9">
        <v>2353.1462583996886</v>
      </c>
      <c r="F288" s="18">
        <v>4729823.979383374</v>
      </c>
      <c r="G288" s="6" t="s">
        <v>136</v>
      </c>
    </row>
    <row r="289" spans="1:7" x14ac:dyDescent="0.25">
      <c r="A289" s="6" t="s">
        <v>19</v>
      </c>
      <c r="B289" s="6" t="s">
        <v>472</v>
      </c>
      <c r="C289" s="6" t="s">
        <v>473</v>
      </c>
      <c r="D289" s="6" t="s">
        <v>132</v>
      </c>
      <c r="E289" s="9">
        <v>2399.16551743614</v>
      </c>
      <c r="F289" s="18">
        <v>4822322.690046641</v>
      </c>
      <c r="G289" s="6" t="s">
        <v>129</v>
      </c>
    </row>
    <row r="290" spans="1:7" x14ac:dyDescent="0.25">
      <c r="A290" s="6" t="s">
        <v>19</v>
      </c>
      <c r="B290" s="6" t="s">
        <v>472</v>
      </c>
      <c r="C290" s="6" t="s">
        <v>474</v>
      </c>
      <c r="D290" s="6" t="s">
        <v>132</v>
      </c>
      <c r="E290" s="9">
        <v>2399.16551743614</v>
      </c>
      <c r="F290" s="18">
        <v>4822322.690046641</v>
      </c>
      <c r="G290" s="6" t="s">
        <v>136</v>
      </c>
    </row>
    <row r="291" spans="1:7" x14ac:dyDescent="0.25">
      <c r="A291" s="6" t="s">
        <v>19</v>
      </c>
      <c r="B291" s="6" t="s">
        <v>472</v>
      </c>
      <c r="C291" s="6" t="s">
        <v>475</v>
      </c>
      <c r="D291" s="6" t="s">
        <v>132</v>
      </c>
      <c r="E291" s="9">
        <v>2399.16551743614</v>
      </c>
      <c r="F291" s="18">
        <v>4822322.690046641</v>
      </c>
      <c r="G291" s="6" t="s">
        <v>134</v>
      </c>
    </row>
    <row r="292" spans="1:7" x14ac:dyDescent="0.25">
      <c r="A292" s="6" t="s">
        <v>19</v>
      </c>
      <c r="B292" s="6" t="s">
        <v>472</v>
      </c>
      <c r="C292" s="6" t="s">
        <v>476</v>
      </c>
      <c r="D292" s="6" t="s">
        <v>132</v>
      </c>
      <c r="E292" s="9">
        <v>2399.16551743614</v>
      </c>
      <c r="F292" s="18">
        <v>4822322.690046641</v>
      </c>
      <c r="G292" s="6" t="s">
        <v>129</v>
      </c>
    </row>
    <row r="293" spans="1:7" x14ac:dyDescent="0.25">
      <c r="A293" s="6" t="s">
        <v>19</v>
      </c>
      <c r="B293" s="6" t="s">
        <v>477</v>
      </c>
      <c r="C293" s="6" t="s">
        <v>478</v>
      </c>
      <c r="D293" s="6" t="s">
        <v>132</v>
      </c>
      <c r="E293" s="9">
        <v>2444.6218497565496</v>
      </c>
      <c r="F293" s="18">
        <v>4913689.918010665</v>
      </c>
      <c r="G293" s="6" t="s">
        <v>129</v>
      </c>
    </row>
    <row r="294" spans="1:7" x14ac:dyDescent="0.25">
      <c r="A294" s="6" t="s">
        <v>19</v>
      </c>
      <c r="B294" s="6" t="s">
        <v>477</v>
      </c>
      <c r="C294" s="6" t="s">
        <v>479</v>
      </c>
      <c r="D294" s="6" t="s">
        <v>132</v>
      </c>
      <c r="E294" s="9">
        <v>2444.6218497565496</v>
      </c>
      <c r="F294" s="18">
        <v>4913689.918010665</v>
      </c>
      <c r="G294" s="6" t="s">
        <v>129</v>
      </c>
    </row>
    <row r="295" spans="1:7" x14ac:dyDescent="0.25">
      <c r="A295" s="6" t="s">
        <v>19</v>
      </c>
      <c r="B295" s="6" t="s">
        <v>477</v>
      </c>
      <c r="C295" s="6" t="s">
        <v>480</v>
      </c>
      <c r="D295" s="6" t="s">
        <v>132</v>
      </c>
      <c r="E295" s="9">
        <v>2444.6218497565496</v>
      </c>
      <c r="F295" s="18">
        <v>4913689.918010665</v>
      </c>
      <c r="G295" s="6" t="s">
        <v>136</v>
      </c>
    </row>
    <row r="296" spans="1:7" x14ac:dyDescent="0.25">
      <c r="A296" s="6" t="s">
        <v>19</v>
      </c>
      <c r="B296" s="6" t="s">
        <v>477</v>
      </c>
      <c r="C296" s="6" t="s">
        <v>481</v>
      </c>
      <c r="D296" s="6" t="s">
        <v>132</v>
      </c>
      <c r="E296" s="9">
        <v>2444.6218497565496</v>
      </c>
      <c r="F296" s="18">
        <v>4913689.918010665</v>
      </c>
      <c r="G296" s="6" t="s">
        <v>129</v>
      </c>
    </row>
    <row r="297" spans="1:7" x14ac:dyDescent="0.25">
      <c r="A297" s="6" t="s">
        <v>19</v>
      </c>
      <c r="B297" s="6" t="s">
        <v>482</v>
      </c>
      <c r="C297" s="6" t="s">
        <v>483</v>
      </c>
      <c r="D297" s="6" t="s">
        <v>132</v>
      </c>
      <c r="E297" s="9">
        <v>2489.458962689312</v>
      </c>
      <c r="F297" s="18">
        <v>5003812.515005518</v>
      </c>
      <c r="G297" s="6" t="s">
        <v>129</v>
      </c>
    </row>
    <row r="298" spans="1:7" x14ac:dyDescent="0.25">
      <c r="A298" s="6" t="s">
        <v>19</v>
      </c>
      <c r="B298" s="6" t="s">
        <v>482</v>
      </c>
      <c r="C298" s="6" t="s">
        <v>484</v>
      </c>
      <c r="D298" s="6" t="s">
        <v>132</v>
      </c>
      <c r="E298" s="9">
        <v>2489.458962689312</v>
      </c>
      <c r="F298" s="18">
        <v>5003812.515005518</v>
      </c>
      <c r="G298" s="6" t="s">
        <v>136</v>
      </c>
    </row>
    <row r="299" spans="1:7" x14ac:dyDescent="0.25">
      <c r="A299" s="6" t="s">
        <v>19</v>
      </c>
      <c r="B299" s="6" t="s">
        <v>482</v>
      </c>
      <c r="C299" s="6" t="s">
        <v>485</v>
      </c>
      <c r="D299" s="6" t="s">
        <v>132</v>
      </c>
      <c r="E299" s="9">
        <v>2489.458962689312</v>
      </c>
      <c r="F299" s="18">
        <v>5003812.515005518</v>
      </c>
      <c r="G299" s="6" t="s">
        <v>136</v>
      </c>
    </row>
    <row r="300" spans="1:7" x14ac:dyDescent="0.25">
      <c r="A300" s="6" t="s">
        <v>19</v>
      </c>
      <c r="B300" s="6" t="s">
        <v>482</v>
      </c>
      <c r="C300" s="6" t="s">
        <v>486</v>
      </c>
      <c r="D300" s="6" t="s">
        <v>132</v>
      </c>
      <c r="E300" s="9">
        <v>2489.458962689312</v>
      </c>
      <c r="F300" s="18">
        <v>5003812.515005518</v>
      </c>
      <c r="G300" s="6" t="s">
        <v>134</v>
      </c>
    </row>
    <row r="301" spans="1:7" x14ac:dyDescent="0.25">
      <c r="A301" s="6" t="s">
        <v>19</v>
      </c>
      <c r="B301" s="6" t="s">
        <v>487</v>
      </c>
      <c r="C301" s="6" t="s">
        <v>488</v>
      </c>
      <c r="D301" s="6" t="s">
        <v>132</v>
      </c>
      <c r="E301" s="9">
        <v>2533.1702221899905</v>
      </c>
      <c r="F301" s="18">
        <v>5091672.146601881</v>
      </c>
      <c r="G301" s="6" t="s">
        <v>136</v>
      </c>
    </row>
    <row r="302" spans="1:7" x14ac:dyDescent="0.25">
      <c r="A302" s="6" t="s">
        <v>19</v>
      </c>
      <c r="B302" s="6" t="s">
        <v>487</v>
      </c>
      <c r="C302" s="6" t="s">
        <v>489</v>
      </c>
      <c r="D302" s="6" t="s">
        <v>132</v>
      </c>
      <c r="E302" s="9">
        <v>2533.1702221899905</v>
      </c>
      <c r="F302" s="18">
        <v>5091672.146601881</v>
      </c>
      <c r="G302" s="6" t="s">
        <v>129</v>
      </c>
    </row>
    <row r="303" spans="1:7" x14ac:dyDescent="0.25">
      <c r="A303" s="6" t="s">
        <v>19</v>
      </c>
      <c r="B303" s="6" t="s">
        <v>487</v>
      </c>
      <c r="C303" s="6" t="s">
        <v>490</v>
      </c>
      <c r="D303" s="6" t="s">
        <v>132</v>
      </c>
      <c r="E303" s="9">
        <v>2533.1702221899905</v>
      </c>
      <c r="F303" s="18">
        <v>5091672.146601881</v>
      </c>
      <c r="G303" s="6" t="s">
        <v>129</v>
      </c>
    </row>
    <row r="304" spans="1:7" x14ac:dyDescent="0.25">
      <c r="A304" s="6" t="s">
        <v>19</v>
      </c>
      <c r="B304" s="6" t="s">
        <v>487</v>
      </c>
      <c r="C304" s="6" t="s">
        <v>491</v>
      </c>
      <c r="D304" s="6" t="s">
        <v>132</v>
      </c>
      <c r="E304" s="9">
        <v>2533.1702221899905</v>
      </c>
      <c r="F304" s="18">
        <v>5091672.146601881</v>
      </c>
      <c r="G304" s="6" t="s">
        <v>134</v>
      </c>
    </row>
    <row r="305" spans="1:7" x14ac:dyDescent="0.25">
      <c r="A305" s="6" t="s">
        <v>19</v>
      </c>
      <c r="B305" s="6" t="s">
        <v>492</v>
      </c>
      <c r="C305" s="6" t="s">
        <v>493</v>
      </c>
      <c r="D305" s="6" t="s">
        <v>132</v>
      </c>
      <c r="E305" s="9">
        <v>2576.7407500116587</v>
      </c>
      <c r="F305" s="18">
        <v>5179248.907523434</v>
      </c>
      <c r="G305" s="6" t="s">
        <v>134</v>
      </c>
    </row>
    <row r="306" spans="1:7" x14ac:dyDescent="0.25">
      <c r="A306" s="6" t="s">
        <v>19</v>
      </c>
      <c r="B306" s="6" t="s">
        <v>492</v>
      </c>
      <c r="C306" s="6" t="s">
        <v>494</v>
      </c>
      <c r="D306" s="6" t="s">
        <v>132</v>
      </c>
      <c r="E306" s="9">
        <v>2576.7407500116587</v>
      </c>
      <c r="F306" s="18">
        <v>5179248.907523434</v>
      </c>
      <c r="G306" s="6" t="s">
        <v>129</v>
      </c>
    </row>
    <row r="307" spans="1:7" x14ac:dyDescent="0.25">
      <c r="A307" s="6" t="s">
        <v>19</v>
      </c>
      <c r="B307" s="6" t="s">
        <v>492</v>
      </c>
      <c r="C307" s="6" t="s">
        <v>495</v>
      </c>
      <c r="D307" s="6" t="s">
        <v>132</v>
      </c>
      <c r="E307" s="9">
        <v>2576.7407500116587</v>
      </c>
      <c r="F307" s="18">
        <v>5179248.907523434</v>
      </c>
      <c r="G307" s="6" t="s">
        <v>136</v>
      </c>
    </row>
    <row r="308" spans="1:7" x14ac:dyDescent="0.25">
      <c r="A308" s="6" t="s">
        <v>19</v>
      </c>
      <c r="B308" s="6" t="s">
        <v>492</v>
      </c>
      <c r="C308" s="6" t="s">
        <v>496</v>
      </c>
      <c r="D308" s="6" t="s">
        <v>132</v>
      </c>
      <c r="E308" s="9">
        <v>2576.7407500116587</v>
      </c>
      <c r="F308" s="18">
        <v>5179248.907523434</v>
      </c>
      <c r="G308" s="6" t="s">
        <v>136</v>
      </c>
    </row>
    <row r="309" spans="1:7" x14ac:dyDescent="0.25">
      <c r="A309" s="6" t="s">
        <v>19</v>
      </c>
      <c r="B309" s="6" t="s">
        <v>497</v>
      </c>
      <c r="C309" s="6" t="s">
        <v>498</v>
      </c>
      <c r="D309" s="6" t="s">
        <v>132</v>
      </c>
      <c r="E309" s="9">
        <v>2619.100985393836</v>
      </c>
      <c r="F309" s="18">
        <v>5264392.98064161</v>
      </c>
      <c r="G309" s="6" t="s">
        <v>129</v>
      </c>
    </row>
    <row r="310" spans="1:7" x14ac:dyDescent="0.25">
      <c r="A310" s="6" t="s">
        <v>19</v>
      </c>
      <c r="B310" s="6" t="s">
        <v>497</v>
      </c>
      <c r="C310" s="6" t="s">
        <v>499</v>
      </c>
      <c r="D310" s="6" t="s">
        <v>132</v>
      </c>
      <c r="E310" s="9">
        <v>2619.100985393836</v>
      </c>
      <c r="F310" s="18">
        <v>5264392.98064161</v>
      </c>
      <c r="G310" s="6" t="s">
        <v>136</v>
      </c>
    </row>
    <row r="311" spans="1:7" x14ac:dyDescent="0.25">
      <c r="A311" s="6" t="s">
        <v>19</v>
      </c>
      <c r="B311" s="6" t="s">
        <v>497</v>
      </c>
      <c r="C311" s="6" t="s">
        <v>500</v>
      </c>
      <c r="D311" s="6" t="s">
        <v>132</v>
      </c>
      <c r="E311" s="9">
        <v>2619.100985393836</v>
      </c>
      <c r="F311" s="18">
        <v>5264392.98064161</v>
      </c>
      <c r="G311" s="6" t="s">
        <v>136</v>
      </c>
    </row>
    <row r="312" spans="1:7" x14ac:dyDescent="0.25">
      <c r="A312" s="6" t="s">
        <v>19</v>
      </c>
      <c r="B312" s="6" t="s">
        <v>497</v>
      </c>
      <c r="C312" s="6" t="s">
        <v>501</v>
      </c>
      <c r="D312" s="6" t="s">
        <v>132</v>
      </c>
      <c r="E312" s="9">
        <v>2619.100985393836</v>
      </c>
      <c r="F312" s="18">
        <v>5264392.98064161</v>
      </c>
      <c r="G312" s="6" t="s">
        <v>129</v>
      </c>
    </row>
    <row r="313" spans="1:7" x14ac:dyDescent="0.25">
      <c r="A313" s="6" t="s">
        <v>19</v>
      </c>
      <c r="B313" s="6" t="s">
        <v>502</v>
      </c>
      <c r="C313" s="6" t="s">
        <v>503</v>
      </c>
      <c r="D313" s="6" t="s">
        <v>132</v>
      </c>
      <c r="E313" s="9">
        <v>2660.75756238096</v>
      </c>
      <c r="F313" s="18">
        <v>5348122.700385729</v>
      </c>
      <c r="G313" s="6" t="s">
        <v>129</v>
      </c>
    </row>
    <row r="314" spans="1:7" x14ac:dyDescent="0.25">
      <c r="A314" s="6" t="s">
        <v>19</v>
      </c>
      <c r="B314" s="6" t="s">
        <v>502</v>
      </c>
      <c r="C314" s="6" t="s">
        <v>504</v>
      </c>
      <c r="D314" s="6" t="s">
        <v>132</v>
      </c>
      <c r="E314" s="9">
        <v>2660.75756238096</v>
      </c>
      <c r="F314" s="18">
        <v>5348122.700385729</v>
      </c>
      <c r="G314" s="6" t="s">
        <v>136</v>
      </c>
    </row>
    <row r="315" spans="1:7" x14ac:dyDescent="0.25">
      <c r="A315" s="6" t="s">
        <v>19</v>
      </c>
      <c r="B315" s="6" t="s">
        <v>502</v>
      </c>
      <c r="C315" s="6" t="s">
        <v>505</v>
      </c>
      <c r="D315" s="6" t="s">
        <v>132</v>
      </c>
      <c r="E315" s="9">
        <v>2660.75756238096</v>
      </c>
      <c r="F315" s="18">
        <v>5348122.700385729</v>
      </c>
      <c r="G315" s="6" t="s">
        <v>136</v>
      </c>
    </row>
    <row r="316" spans="1:7" x14ac:dyDescent="0.25">
      <c r="A316" s="6" t="s">
        <v>19</v>
      </c>
      <c r="B316" s="6" t="s">
        <v>502</v>
      </c>
      <c r="C316" s="6" t="s">
        <v>506</v>
      </c>
      <c r="D316" s="6" t="s">
        <v>132</v>
      </c>
      <c r="E316" s="9">
        <v>2660.75756238096</v>
      </c>
      <c r="F316" s="18">
        <v>5348122.700385729</v>
      </c>
      <c r="G316" s="6" t="s">
        <v>134</v>
      </c>
    </row>
    <row r="317" spans="1:7" x14ac:dyDescent="0.25">
      <c r="A317" s="6" t="s">
        <v>19</v>
      </c>
      <c r="B317" s="6" t="s">
        <v>507</v>
      </c>
      <c r="C317" s="6" t="s">
        <v>508</v>
      </c>
      <c r="D317" s="6" t="s">
        <v>132</v>
      </c>
      <c r="E317" s="9">
        <v>2701.6541883014274</v>
      </c>
      <c r="F317" s="18">
        <v>5430324.918485869</v>
      </c>
      <c r="G317" s="6" t="s">
        <v>136</v>
      </c>
    </row>
    <row r="318" spans="1:7" x14ac:dyDescent="0.25">
      <c r="A318" s="6" t="s">
        <v>19</v>
      </c>
      <c r="B318" s="6" t="s">
        <v>507</v>
      </c>
      <c r="C318" s="6" t="s">
        <v>509</v>
      </c>
      <c r="D318" s="6" t="s">
        <v>132</v>
      </c>
      <c r="E318" s="9">
        <v>2701.6541883014274</v>
      </c>
      <c r="F318" s="18">
        <v>5430324.918485869</v>
      </c>
      <c r="G318" s="6" t="s">
        <v>129</v>
      </c>
    </row>
    <row r="319" spans="1:7" x14ac:dyDescent="0.25">
      <c r="A319" s="6" t="s">
        <v>19</v>
      </c>
      <c r="B319" s="6" t="s">
        <v>507</v>
      </c>
      <c r="C319" s="6" t="s">
        <v>510</v>
      </c>
      <c r="D319" s="6" t="s">
        <v>132</v>
      </c>
      <c r="E319" s="9">
        <v>2701.6541883014274</v>
      </c>
      <c r="F319" s="18">
        <v>5430324.918485869</v>
      </c>
      <c r="G319" s="6" t="s">
        <v>129</v>
      </c>
    </row>
    <row r="320" spans="1:7" x14ac:dyDescent="0.25">
      <c r="A320" s="6" t="s">
        <v>19</v>
      </c>
      <c r="B320" s="6" t="s">
        <v>507</v>
      </c>
      <c r="C320" s="6" t="s">
        <v>511</v>
      </c>
      <c r="D320" s="6" t="s">
        <v>132</v>
      </c>
      <c r="E320" s="9">
        <v>2701.6541883014274</v>
      </c>
      <c r="F320" s="18">
        <v>5430324.918485869</v>
      </c>
      <c r="G320" s="6" t="s">
        <v>136</v>
      </c>
    </row>
    <row r="321" spans="1:7" x14ac:dyDescent="0.25">
      <c r="A321" s="6" t="s">
        <v>19</v>
      </c>
      <c r="B321" s="6" t="s">
        <v>512</v>
      </c>
      <c r="C321" s="6" t="s">
        <v>513</v>
      </c>
      <c r="D321" s="6" t="s">
        <v>132</v>
      </c>
      <c r="E321" s="9">
        <v>2741.819009491039</v>
      </c>
      <c r="F321" s="18">
        <v>5511056.2090769885</v>
      </c>
      <c r="G321" s="6" t="s">
        <v>129</v>
      </c>
    </row>
    <row r="322" spans="1:7" x14ac:dyDescent="0.25">
      <c r="A322" s="6" t="s">
        <v>19</v>
      </c>
      <c r="B322" s="6" t="s">
        <v>512</v>
      </c>
      <c r="C322" s="6" t="s">
        <v>514</v>
      </c>
      <c r="D322" s="6" t="s">
        <v>132</v>
      </c>
      <c r="E322" s="9">
        <v>2741.819009491039</v>
      </c>
      <c r="F322" s="18">
        <v>5511056.2090769885</v>
      </c>
      <c r="G322" s="6" t="s">
        <v>129</v>
      </c>
    </row>
    <row r="323" spans="1:7" x14ac:dyDescent="0.25">
      <c r="A323" s="6" t="s">
        <v>19</v>
      </c>
      <c r="B323" s="6" t="s">
        <v>512</v>
      </c>
      <c r="C323" s="6" t="s">
        <v>515</v>
      </c>
      <c r="D323" s="6" t="s">
        <v>132</v>
      </c>
      <c r="E323" s="9">
        <v>2741.819009491039</v>
      </c>
      <c r="F323" s="18">
        <v>5511056.2090769885</v>
      </c>
      <c r="G323" s="6" t="s">
        <v>136</v>
      </c>
    </row>
    <row r="324" spans="1:7" x14ac:dyDescent="0.25">
      <c r="A324" s="6" t="s">
        <v>19</v>
      </c>
      <c r="B324" s="6" t="s">
        <v>512</v>
      </c>
      <c r="C324" s="6" t="s">
        <v>516</v>
      </c>
      <c r="D324" s="6" t="s">
        <v>132</v>
      </c>
      <c r="E324" s="9">
        <v>2741.819009491039</v>
      </c>
      <c r="F324" s="18">
        <v>5511056.2090769885</v>
      </c>
      <c r="G324" s="6" t="s">
        <v>136</v>
      </c>
    </row>
    <row r="325" spans="1:7" x14ac:dyDescent="0.25">
      <c r="A325" s="6" t="s">
        <v>19</v>
      </c>
      <c r="B325" s="6" t="s">
        <v>517</v>
      </c>
      <c r="C325" s="6" t="s">
        <v>518</v>
      </c>
      <c r="D325" s="6" t="s">
        <v>132</v>
      </c>
      <c r="E325" s="9">
        <v>2781.167586942391</v>
      </c>
      <c r="F325" s="18">
        <v>5590146.849754206</v>
      </c>
      <c r="G325" s="6" t="s">
        <v>129</v>
      </c>
    </row>
    <row r="326" spans="1:7" x14ac:dyDescent="0.25">
      <c r="A326" s="6" t="s">
        <v>19</v>
      </c>
      <c r="B326" s="6" t="s">
        <v>517</v>
      </c>
      <c r="C326" s="6" t="s">
        <v>519</v>
      </c>
      <c r="D326" s="6" t="s">
        <v>132</v>
      </c>
      <c r="E326" s="9">
        <v>2781.167586942391</v>
      </c>
      <c r="F326" s="18">
        <v>5590146.849754206</v>
      </c>
      <c r="G326" s="6" t="s">
        <v>136</v>
      </c>
    </row>
    <row r="327" spans="1:7" x14ac:dyDescent="0.25">
      <c r="A327" s="6" t="s">
        <v>19</v>
      </c>
      <c r="B327" s="6" t="s">
        <v>517</v>
      </c>
      <c r="C327" s="6" t="s">
        <v>520</v>
      </c>
      <c r="D327" s="6" t="s">
        <v>132</v>
      </c>
      <c r="E327" s="9">
        <v>2781.167586942391</v>
      </c>
      <c r="F327" s="18">
        <v>5590146.849754206</v>
      </c>
      <c r="G327" s="6" t="s">
        <v>129</v>
      </c>
    </row>
    <row r="328" spans="1:7" x14ac:dyDescent="0.25">
      <c r="A328" s="6" t="s">
        <v>19</v>
      </c>
      <c r="B328" s="6" t="s">
        <v>517</v>
      </c>
      <c r="C328" s="6" t="s">
        <v>521</v>
      </c>
      <c r="D328" s="6" t="s">
        <v>132</v>
      </c>
      <c r="E328" s="9">
        <v>2781.167586942391</v>
      </c>
      <c r="F328" s="18">
        <v>5590146.849754206</v>
      </c>
      <c r="G328" s="6" t="s">
        <v>129</v>
      </c>
    </row>
    <row r="329" spans="1:7" x14ac:dyDescent="0.25">
      <c r="A329" s="6" t="s">
        <v>19</v>
      </c>
      <c r="B329" s="6" t="s">
        <v>522</v>
      </c>
      <c r="C329" s="6" t="s">
        <v>523</v>
      </c>
      <c r="D329" s="6" t="s">
        <v>132</v>
      </c>
      <c r="E329" s="9">
        <v>2819.728066991283</v>
      </c>
      <c r="F329" s="18">
        <v>5667653.414652479</v>
      </c>
      <c r="G329" s="6" t="s">
        <v>129</v>
      </c>
    </row>
    <row r="330" spans="1:7" x14ac:dyDescent="0.25">
      <c r="A330" s="6" t="s">
        <v>19</v>
      </c>
      <c r="B330" s="6" t="s">
        <v>522</v>
      </c>
      <c r="C330" s="6" t="s">
        <v>524</v>
      </c>
      <c r="D330" s="6" t="s">
        <v>132</v>
      </c>
      <c r="E330" s="9">
        <v>2819.728066991283</v>
      </c>
      <c r="F330" s="18">
        <v>5667653.414652479</v>
      </c>
      <c r="G330" s="6" t="s">
        <v>129</v>
      </c>
    </row>
    <row r="331" spans="1:7" x14ac:dyDescent="0.25">
      <c r="A331" s="6" t="s">
        <v>19</v>
      </c>
      <c r="B331" s="6" t="s">
        <v>522</v>
      </c>
      <c r="C331" s="6" t="s">
        <v>525</v>
      </c>
      <c r="D331" s="6" t="s">
        <v>132</v>
      </c>
      <c r="E331" s="9">
        <v>2819.728066991283</v>
      </c>
      <c r="F331" s="18">
        <v>5667653.414652479</v>
      </c>
      <c r="G331" s="6" t="s">
        <v>136</v>
      </c>
    </row>
    <row r="332" spans="1:7" x14ac:dyDescent="0.25">
      <c r="A332" s="6" t="s">
        <v>19</v>
      </c>
      <c r="B332" s="6" t="s">
        <v>522</v>
      </c>
      <c r="C332" s="6" t="s">
        <v>526</v>
      </c>
      <c r="D332" s="6" t="s">
        <v>132</v>
      </c>
      <c r="E332" s="9">
        <v>2819.728066991283</v>
      </c>
      <c r="F332" s="18">
        <v>5667653.414652479</v>
      </c>
      <c r="G332" s="6" t="s">
        <v>136</v>
      </c>
    </row>
    <row r="333" spans="1:7" x14ac:dyDescent="0.25">
      <c r="A333" s="6" t="s">
        <v>19</v>
      </c>
      <c r="B333" s="6" t="s">
        <v>527</v>
      </c>
      <c r="C333" s="6" t="s">
        <v>528</v>
      </c>
      <c r="D333" s="6" t="s">
        <v>132</v>
      </c>
      <c r="E333" s="9">
        <v>2857.444156966111</v>
      </c>
      <c r="F333" s="18">
        <v>5743462.755501883</v>
      </c>
      <c r="G333" s="6" t="s">
        <v>136</v>
      </c>
    </row>
    <row r="334" spans="1:7" x14ac:dyDescent="0.25">
      <c r="A334" s="6" t="s">
        <v>19</v>
      </c>
      <c r="B334" s="6" t="s">
        <v>527</v>
      </c>
      <c r="C334" s="6" t="s">
        <v>529</v>
      </c>
      <c r="D334" s="6" t="s">
        <v>132</v>
      </c>
      <c r="E334" s="9">
        <v>2857.444156966111</v>
      </c>
      <c r="F334" s="18">
        <v>5743462.755501883</v>
      </c>
      <c r="G334" s="6" t="s">
        <v>136</v>
      </c>
    </row>
    <row r="335" spans="1:7" x14ac:dyDescent="0.25">
      <c r="A335" s="6" t="s">
        <v>19</v>
      </c>
      <c r="B335" s="6" t="s">
        <v>527</v>
      </c>
      <c r="C335" s="6" t="s">
        <v>530</v>
      </c>
      <c r="D335" s="6" t="s">
        <v>132</v>
      </c>
      <c r="E335" s="9">
        <v>2857.444156966111</v>
      </c>
      <c r="F335" s="18">
        <v>5743462.755501883</v>
      </c>
      <c r="G335" s="6" t="s">
        <v>129</v>
      </c>
    </row>
    <row r="336" spans="1:7" x14ac:dyDescent="0.25">
      <c r="A336" s="6" t="s">
        <v>19</v>
      </c>
      <c r="B336" s="6" t="s">
        <v>527</v>
      </c>
      <c r="C336" s="6" t="s">
        <v>531</v>
      </c>
      <c r="D336" s="6" t="s">
        <v>132</v>
      </c>
      <c r="E336" s="9">
        <v>2857.444156966111</v>
      </c>
      <c r="F336" s="18">
        <v>5743462.755501883</v>
      </c>
      <c r="G336" s="6" t="s">
        <v>129</v>
      </c>
    </row>
    <row r="337" spans="1:7" x14ac:dyDescent="0.25">
      <c r="A337" s="6" t="s">
        <v>19</v>
      </c>
      <c r="B337" s="6" t="s">
        <v>532</v>
      </c>
      <c r="C337" s="6" t="s">
        <v>533</v>
      </c>
      <c r="D337" s="6" t="s">
        <v>132</v>
      </c>
      <c r="E337" s="9">
        <v>2893.752930150835</v>
      </c>
      <c r="F337" s="18">
        <v>5816443.389603178</v>
      </c>
      <c r="G337" s="6" t="s">
        <v>134</v>
      </c>
    </row>
    <row r="338" spans="1:7" x14ac:dyDescent="0.25">
      <c r="A338" s="6" t="s">
        <v>19</v>
      </c>
      <c r="B338" s="6" t="s">
        <v>532</v>
      </c>
      <c r="C338" s="6" t="s">
        <v>534</v>
      </c>
      <c r="D338" s="6" t="s">
        <v>132</v>
      </c>
      <c r="E338" s="9">
        <v>2893.752930150835</v>
      </c>
      <c r="F338" s="18">
        <v>5816443.389603178</v>
      </c>
      <c r="G338" s="6" t="s">
        <v>136</v>
      </c>
    </row>
    <row r="339" spans="1:7" x14ac:dyDescent="0.25">
      <c r="A339" s="6" t="s">
        <v>19</v>
      </c>
      <c r="B339" s="6" t="s">
        <v>532</v>
      </c>
      <c r="C339" s="6" t="s">
        <v>535</v>
      </c>
      <c r="D339" s="6" t="s">
        <v>132</v>
      </c>
      <c r="E339" s="9">
        <v>2893.752930150835</v>
      </c>
      <c r="F339" s="18">
        <v>5816443.389603178</v>
      </c>
      <c r="G339" s="6" t="s">
        <v>129</v>
      </c>
    </row>
    <row r="340" spans="1:7" x14ac:dyDescent="0.25">
      <c r="A340" s="6" t="s">
        <v>19</v>
      </c>
      <c r="B340" s="6" t="s">
        <v>532</v>
      </c>
      <c r="C340" s="6" t="s">
        <v>536</v>
      </c>
      <c r="D340" s="6" t="s">
        <v>132</v>
      </c>
      <c r="E340" s="9">
        <v>2893.752930150835</v>
      </c>
      <c r="F340" s="18">
        <v>5816443.389603178</v>
      </c>
      <c r="G340" s="6" t="s">
        <v>129</v>
      </c>
    </row>
    <row r="341" spans="1:7" x14ac:dyDescent="0.25">
      <c r="A341" s="6" t="s">
        <v>19</v>
      </c>
      <c r="B341" s="6" t="s">
        <v>537</v>
      </c>
      <c r="C341" s="6" t="s">
        <v>538</v>
      </c>
      <c r="D341" s="6" t="s">
        <v>132</v>
      </c>
      <c r="E341" s="9">
        <v>2929.1891669256925</v>
      </c>
      <c r="F341" s="18">
        <v>5887670.225520642</v>
      </c>
      <c r="G341" s="6" t="s">
        <v>136</v>
      </c>
    </row>
    <row r="342" spans="1:7" x14ac:dyDescent="0.25">
      <c r="A342" s="6" t="s">
        <v>19</v>
      </c>
      <c r="B342" s="6" t="s">
        <v>537</v>
      </c>
      <c r="C342" s="6" t="s">
        <v>539</v>
      </c>
      <c r="D342" s="6" t="s">
        <v>132</v>
      </c>
      <c r="E342" s="9">
        <v>2929.1891669256925</v>
      </c>
      <c r="F342" s="18">
        <v>5887670.225520642</v>
      </c>
      <c r="G342" s="6" t="s">
        <v>136</v>
      </c>
    </row>
    <row r="343" spans="1:7" x14ac:dyDescent="0.25">
      <c r="A343" s="6" t="s">
        <v>19</v>
      </c>
      <c r="B343" s="6" t="s">
        <v>537</v>
      </c>
      <c r="C343" s="6" t="s">
        <v>540</v>
      </c>
      <c r="D343" s="6" t="s">
        <v>132</v>
      </c>
      <c r="E343" s="9">
        <v>2929.1891669256925</v>
      </c>
      <c r="F343" s="18">
        <v>5887670.225520642</v>
      </c>
      <c r="G343" s="6" t="s">
        <v>129</v>
      </c>
    </row>
    <row r="344" spans="1:7" x14ac:dyDescent="0.25">
      <c r="A344" s="6" t="s">
        <v>19</v>
      </c>
      <c r="B344" s="6" t="s">
        <v>537</v>
      </c>
      <c r="C344" s="6" t="s">
        <v>541</v>
      </c>
      <c r="D344" s="6" t="s">
        <v>132</v>
      </c>
      <c r="E344" s="9">
        <v>2929.1891669256925</v>
      </c>
      <c r="F344" s="18">
        <v>5887670.225520642</v>
      </c>
      <c r="G344" s="6" t="s">
        <v>129</v>
      </c>
    </row>
    <row r="345" spans="1:7" x14ac:dyDescent="0.25">
      <c r="A345" s="6" t="s">
        <v>19</v>
      </c>
      <c r="B345" s="6" t="s">
        <v>542</v>
      </c>
      <c r="C345" s="6" t="s">
        <v>543</v>
      </c>
      <c r="D345" s="6" t="s">
        <v>132</v>
      </c>
      <c r="E345" s="9">
        <v>2964.2876476709253</v>
      </c>
      <c r="F345" s="18">
        <v>5958218.17181856</v>
      </c>
      <c r="G345" s="6" t="s">
        <v>129</v>
      </c>
    </row>
    <row r="346" spans="1:7" x14ac:dyDescent="0.25">
      <c r="A346" s="6" t="s">
        <v>19</v>
      </c>
      <c r="B346" s="6" t="s">
        <v>542</v>
      </c>
      <c r="C346" s="6" t="s">
        <v>544</v>
      </c>
      <c r="D346" s="6" t="s">
        <v>132</v>
      </c>
      <c r="E346" s="9">
        <v>2964.2876476709253</v>
      </c>
      <c r="F346" s="18">
        <v>5958218.17181856</v>
      </c>
      <c r="G346" s="6" t="s">
        <v>134</v>
      </c>
    </row>
    <row r="347" spans="1:7" x14ac:dyDescent="0.25">
      <c r="A347" s="6" t="s">
        <v>19</v>
      </c>
      <c r="B347" s="6" t="s">
        <v>542</v>
      </c>
      <c r="C347" s="6" t="s">
        <v>545</v>
      </c>
      <c r="D347" s="6" t="s">
        <v>132</v>
      </c>
      <c r="E347" s="9">
        <v>2964.2876476709253</v>
      </c>
      <c r="F347" s="18">
        <v>5958218.17181856</v>
      </c>
      <c r="G347" s="6" t="s">
        <v>136</v>
      </c>
    </row>
    <row r="348" spans="1:7" x14ac:dyDescent="0.25">
      <c r="A348" s="6" t="s">
        <v>19</v>
      </c>
      <c r="B348" s="6" t="s">
        <v>542</v>
      </c>
      <c r="C348" s="6" t="s">
        <v>546</v>
      </c>
      <c r="D348" s="6" t="s">
        <v>132</v>
      </c>
      <c r="E348" s="9">
        <v>2964.2876476709253</v>
      </c>
      <c r="F348" s="18">
        <v>5958218.17181856</v>
      </c>
      <c r="G348" s="6" t="s">
        <v>129</v>
      </c>
    </row>
    <row r="349" spans="1:7" x14ac:dyDescent="0.25">
      <c r="A349" s="6" t="s">
        <v>19</v>
      </c>
      <c r="B349" s="6" t="s">
        <v>547</v>
      </c>
      <c r="C349" s="6" t="s">
        <v>548</v>
      </c>
      <c r="D349" s="6" t="s">
        <v>132</v>
      </c>
      <c r="E349" s="9">
        <v>2997.8943726186453</v>
      </c>
      <c r="F349" s="18">
        <v>6025767.6889634775</v>
      </c>
      <c r="G349" s="6" t="s">
        <v>129</v>
      </c>
    </row>
    <row r="350" spans="1:7" x14ac:dyDescent="0.25">
      <c r="A350" s="6" t="s">
        <v>19</v>
      </c>
      <c r="B350" s="6" t="s">
        <v>547</v>
      </c>
      <c r="C350" s="6" t="s">
        <v>549</v>
      </c>
      <c r="D350" s="6" t="s">
        <v>132</v>
      </c>
      <c r="E350" s="9">
        <v>2997.8943726186453</v>
      </c>
      <c r="F350" s="18">
        <v>6025767.6889634775</v>
      </c>
      <c r="G350" s="6" t="s">
        <v>129</v>
      </c>
    </row>
    <row r="351" spans="1:7" x14ac:dyDescent="0.25">
      <c r="A351" s="6" t="s">
        <v>19</v>
      </c>
      <c r="B351" s="6" t="s">
        <v>547</v>
      </c>
      <c r="C351" s="6" t="s">
        <v>550</v>
      </c>
      <c r="D351" s="6" t="s">
        <v>132</v>
      </c>
      <c r="E351" s="9">
        <v>2997.8943726186453</v>
      </c>
      <c r="F351" s="18">
        <v>6025767.6889634775</v>
      </c>
      <c r="G351" s="6" t="s">
        <v>136</v>
      </c>
    </row>
    <row r="352" spans="1:7" x14ac:dyDescent="0.25">
      <c r="A352" s="6" t="s">
        <v>19</v>
      </c>
      <c r="B352" s="6" t="s">
        <v>547</v>
      </c>
      <c r="C352" s="6" t="s">
        <v>551</v>
      </c>
      <c r="D352" s="6" t="s">
        <v>132</v>
      </c>
      <c r="E352" s="9">
        <v>2997.8943726186453</v>
      </c>
      <c r="F352" s="18">
        <v>6025767.6889634775</v>
      </c>
      <c r="G352" s="6" t="s">
        <v>134</v>
      </c>
    </row>
    <row r="353" spans="1:7" x14ac:dyDescent="0.25">
      <c r="A353" s="6" t="s">
        <v>19</v>
      </c>
      <c r="B353" s="6" t="s">
        <v>552</v>
      </c>
      <c r="C353" s="6" t="s">
        <v>553</v>
      </c>
      <c r="D353" s="6" t="s">
        <v>132</v>
      </c>
      <c r="E353" s="9">
        <v>3030.5722684848965</v>
      </c>
      <c r="F353" s="18">
        <v>6091450.259654642</v>
      </c>
      <c r="G353" s="6" t="s">
        <v>136</v>
      </c>
    </row>
    <row r="354" spans="1:7" x14ac:dyDescent="0.25">
      <c r="A354" s="6" t="s">
        <v>19</v>
      </c>
      <c r="B354" s="6" t="s">
        <v>552</v>
      </c>
      <c r="C354" s="6" t="s">
        <v>554</v>
      </c>
      <c r="D354" s="6" t="s">
        <v>132</v>
      </c>
      <c r="E354" s="9">
        <v>3030.5722684848965</v>
      </c>
      <c r="F354" s="18">
        <v>6091450.259654642</v>
      </c>
      <c r="G354" s="6" t="s">
        <v>129</v>
      </c>
    </row>
    <row r="355" spans="1:7" x14ac:dyDescent="0.25">
      <c r="A355" s="6" t="s">
        <v>19</v>
      </c>
      <c r="B355" s="6" t="s">
        <v>552</v>
      </c>
      <c r="C355" s="6" t="s">
        <v>555</v>
      </c>
      <c r="D355" s="6" t="s">
        <v>132</v>
      </c>
      <c r="E355" s="9">
        <v>3030.5722684848965</v>
      </c>
      <c r="F355" s="18">
        <v>6091450.259654642</v>
      </c>
      <c r="G355" s="6" t="s">
        <v>129</v>
      </c>
    </row>
    <row r="356" spans="1:7" x14ac:dyDescent="0.25">
      <c r="A356" s="6" t="s">
        <v>19</v>
      </c>
      <c r="B356" s="6" t="s">
        <v>552</v>
      </c>
      <c r="C356" s="6" t="s">
        <v>556</v>
      </c>
      <c r="D356" s="6" t="s">
        <v>132</v>
      </c>
      <c r="E356" s="9">
        <v>3030.5722684848965</v>
      </c>
      <c r="F356" s="18">
        <v>6091450.259654642</v>
      </c>
      <c r="G356" s="6" t="s">
        <v>134</v>
      </c>
    </row>
    <row r="357" spans="1:7" x14ac:dyDescent="0.25">
      <c r="A357" s="6" t="s">
        <v>19</v>
      </c>
      <c r="B357" s="6" t="s">
        <v>557</v>
      </c>
      <c r="C357" s="6" t="s">
        <v>558</v>
      </c>
      <c r="D357" s="6" t="s">
        <v>132</v>
      </c>
      <c r="E357" s="9">
        <v>3062.293188933876</v>
      </c>
      <c r="F357" s="18">
        <v>6155209.309757091</v>
      </c>
      <c r="G357" s="6" t="s">
        <v>136</v>
      </c>
    </row>
    <row r="358" spans="1:7" x14ac:dyDescent="0.25">
      <c r="A358" s="6" t="s">
        <v>19</v>
      </c>
      <c r="B358" s="6" t="s">
        <v>557</v>
      </c>
      <c r="C358" s="6" t="s">
        <v>559</v>
      </c>
      <c r="D358" s="6" t="s">
        <v>132</v>
      </c>
      <c r="E358" s="9">
        <v>3062.293188933876</v>
      </c>
      <c r="F358" s="18">
        <v>6155209.309757091</v>
      </c>
      <c r="G358" s="6" t="s">
        <v>129</v>
      </c>
    </row>
    <row r="359" spans="1:7" x14ac:dyDescent="0.25">
      <c r="A359" s="6" t="s">
        <v>19</v>
      </c>
      <c r="B359" s="6" t="s">
        <v>557</v>
      </c>
      <c r="C359" s="6" t="s">
        <v>560</v>
      </c>
      <c r="D359" s="6" t="s">
        <v>132</v>
      </c>
      <c r="E359" s="9">
        <v>3062.293188933876</v>
      </c>
      <c r="F359" s="18">
        <v>6155209.309757091</v>
      </c>
      <c r="G359" s="6" t="s">
        <v>129</v>
      </c>
    </row>
    <row r="360" spans="1:7" x14ac:dyDescent="0.25">
      <c r="A360" s="6" t="s">
        <v>19</v>
      </c>
      <c r="B360" s="6" t="s">
        <v>557</v>
      </c>
      <c r="C360" s="6" t="s">
        <v>561</v>
      </c>
      <c r="D360" s="6" t="s">
        <v>132</v>
      </c>
      <c r="E360" s="9">
        <v>3062.293188933876</v>
      </c>
      <c r="F360" s="18">
        <v>6155209.309757091</v>
      </c>
      <c r="G360" s="6" t="s">
        <v>136</v>
      </c>
    </row>
    <row r="361" spans="1:7" x14ac:dyDescent="0.25">
      <c r="A361" s="6" t="s">
        <v>19</v>
      </c>
      <c r="B361" s="6" t="s">
        <v>562</v>
      </c>
      <c r="C361" s="6" t="s">
        <v>563</v>
      </c>
      <c r="D361" s="6" t="s">
        <v>132</v>
      </c>
      <c r="E361" s="9">
        <v>3150.954146710525</v>
      </c>
      <c r="F361" s="18">
        <v>6333417.834888156</v>
      </c>
      <c r="G361" s="6" t="s">
        <v>136</v>
      </c>
    </row>
    <row r="362" spans="1:7" x14ac:dyDescent="0.25">
      <c r="A362" s="6" t="s">
        <v>19</v>
      </c>
      <c r="B362" s="6" t="s">
        <v>562</v>
      </c>
      <c r="C362" s="6" t="s">
        <v>564</v>
      </c>
      <c r="D362" s="6" t="s">
        <v>132</v>
      </c>
      <c r="E362" s="9">
        <v>3150.954146710525</v>
      </c>
      <c r="F362" s="18">
        <v>6333417.834888156</v>
      </c>
      <c r="G362" s="6" t="s">
        <v>134</v>
      </c>
    </row>
    <row r="363" spans="1:7" x14ac:dyDescent="0.25">
      <c r="A363" s="6" t="s">
        <v>19</v>
      </c>
      <c r="B363" s="6" t="s">
        <v>562</v>
      </c>
      <c r="C363" s="6" t="s">
        <v>565</v>
      </c>
      <c r="D363" s="6" t="s">
        <v>132</v>
      </c>
      <c r="E363" s="9">
        <v>3150.954146710525</v>
      </c>
      <c r="F363" s="18">
        <v>6333417.834888156</v>
      </c>
      <c r="G363" s="6" t="s">
        <v>129</v>
      </c>
    </row>
    <row r="364" spans="1:7" x14ac:dyDescent="0.25">
      <c r="A364" s="6" t="s">
        <v>19</v>
      </c>
      <c r="B364" s="6" t="s">
        <v>562</v>
      </c>
      <c r="C364" s="6" t="s">
        <v>566</v>
      </c>
      <c r="D364" s="6" t="s">
        <v>132</v>
      </c>
      <c r="E364" s="9">
        <v>3150.954146710525</v>
      </c>
      <c r="F364" s="18">
        <v>6333417.834888156</v>
      </c>
      <c r="G364" s="6" t="s">
        <v>129</v>
      </c>
    </row>
    <row r="365" spans="1:7" x14ac:dyDescent="0.25">
      <c r="A365" s="6" t="s">
        <v>19</v>
      </c>
      <c r="B365" s="6" t="s">
        <v>567</v>
      </c>
      <c r="C365" s="6" t="s">
        <v>568</v>
      </c>
      <c r="D365" s="6" t="s">
        <v>132</v>
      </c>
      <c r="E365" s="9">
        <v>3178.6501411398026</v>
      </c>
      <c r="F365" s="18">
        <v>6389086.783691003</v>
      </c>
      <c r="G365" s="6" t="s">
        <v>136</v>
      </c>
    </row>
    <row r="366" spans="1:7" x14ac:dyDescent="0.25">
      <c r="A366" s="6" t="s">
        <v>19</v>
      </c>
      <c r="B366" s="6" t="s">
        <v>567</v>
      </c>
      <c r="C366" s="6" t="s">
        <v>569</v>
      </c>
      <c r="D366" s="6" t="s">
        <v>132</v>
      </c>
      <c r="E366" s="9">
        <v>3178.6501411398026</v>
      </c>
      <c r="F366" s="18">
        <v>6389086.783691003</v>
      </c>
      <c r="G366" s="6" t="s">
        <v>129</v>
      </c>
    </row>
    <row r="367" spans="1:7" x14ac:dyDescent="0.25">
      <c r="A367" s="6" t="s">
        <v>19</v>
      </c>
      <c r="B367" s="6" t="s">
        <v>567</v>
      </c>
      <c r="C367" s="6" t="s">
        <v>570</v>
      </c>
      <c r="D367" s="6" t="s">
        <v>132</v>
      </c>
      <c r="E367" s="9">
        <v>3178.6501411398026</v>
      </c>
      <c r="F367" s="18">
        <v>6389086.783691003</v>
      </c>
      <c r="G367" s="6" t="s">
        <v>129</v>
      </c>
    </row>
    <row r="368" spans="1:7" x14ac:dyDescent="0.25">
      <c r="A368" s="6" t="s">
        <v>19</v>
      </c>
      <c r="B368" s="6" t="s">
        <v>567</v>
      </c>
      <c r="C368" s="6" t="s">
        <v>571</v>
      </c>
      <c r="D368" s="6" t="s">
        <v>132</v>
      </c>
      <c r="E368" s="9">
        <v>3178.6501411398026</v>
      </c>
      <c r="F368" s="18">
        <v>6389086.783691003</v>
      </c>
      <c r="G368" s="6" t="s">
        <v>134</v>
      </c>
    </row>
    <row r="369" spans="1:7" x14ac:dyDescent="0.25">
      <c r="A369" s="6" t="s">
        <v>19</v>
      </c>
      <c r="B369" s="6" t="s">
        <v>572</v>
      </c>
      <c r="C369" s="6" t="s">
        <v>573</v>
      </c>
      <c r="D369" s="6" t="s">
        <v>132</v>
      </c>
      <c r="E369" s="9">
        <v>3204.7417944283593</v>
      </c>
      <c r="F369" s="18">
        <v>6441531.006801002</v>
      </c>
      <c r="G369" s="6" t="s">
        <v>129</v>
      </c>
    </row>
    <row r="370" spans="1:7" x14ac:dyDescent="0.25">
      <c r="A370" s="6" t="s">
        <v>19</v>
      </c>
      <c r="B370" s="6" t="s">
        <v>572</v>
      </c>
      <c r="C370" s="6" t="s">
        <v>574</v>
      </c>
      <c r="D370" s="6" t="s">
        <v>132</v>
      </c>
      <c r="E370" s="9">
        <v>3204.7417944283593</v>
      </c>
      <c r="F370" s="18">
        <v>6441531.006801002</v>
      </c>
      <c r="G370" s="6" t="s">
        <v>136</v>
      </c>
    </row>
    <row r="371" spans="1:7" x14ac:dyDescent="0.25">
      <c r="A371" s="6" t="s">
        <v>19</v>
      </c>
      <c r="B371" s="6" t="s">
        <v>572</v>
      </c>
      <c r="C371" s="6" t="s">
        <v>575</v>
      </c>
      <c r="D371" s="6" t="s">
        <v>132</v>
      </c>
      <c r="E371" s="9">
        <v>3204.7417944283593</v>
      </c>
      <c r="F371" s="18">
        <v>6441531.006801002</v>
      </c>
      <c r="G371" s="6" t="s">
        <v>134</v>
      </c>
    </row>
    <row r="372" spans="1:7" x14ac:dyDescent="0.25">
      <c r="A372" s="6" t="s">
        <v>19</v>
      </c>
      <c r="B372" s="6" t="s">
        <v>572</v>
      </c>
      <c r="C372" s="6" t="s">
        <v>576</v>
      </c>
      <c r="D372" s="6" t="s">
        <v>132</v>
      </c>
      <c r="E372" s="9">
        <v>3204.7417944283593</v>
      </c>
      <c r="F372" s="18">
        <v>6441531.006801002</v>
      </c>
      <c r="G372" s="6" t="s">
        <v>129</v>
      </c>
    </row>
    <row r="373" spans="1:7" x14ac:dyDescent="0.25">
      <c r="A373" s="6" t="s">
        <v>19</v>
      </c>
      <c r="B373" s="6" t="s">
        <v>577</v>
      </c>
      <c r="C373" s="6" t="s">
        <v>578</v>
      </c>
      <c r="D373" s="6" t="s">
        <v>132</v>
      </c>
      <c r="E373" s="9">
        <v>3230.35496000828</v>
      </c>
      <c r="F373" s="18">
        <v>6493013.469616643</v>
      </c>
      <c r="G373" s="6" t="s">
        <v>136</v>
      </c>
    </row>
    <row r="374" spans="1:7" x14ac:dyDescent="0.25">
      <c r="A374" s="6" t="s">
        <v>19</v>
      </c>
      <c r="B374" s="6" t="s">
        <v>577</v>
      </c>
      <c r="C374" s="6" t="s">
        <v>579</v>
      </c>
      <c r="D374" s="6" t="s">
        <v>132</v>
      </c>
      <c r="E374" s="9">
        <v>3230.35496000828</v>
      </c>
      <c r="F374" s="18">
        <v>6493013.469616643</v>
      </c>
      <c r="G374" s="6" t="s">
        <v>136</v>
      </c>
    </row>
    <row r="375" spans="1:7" x14ac:dyDescent="0.25">
      <c r="A375" s="6" t="s">
        <v>19</v>
      </c>
      <c r="B375" s="6" t="s">
        <v>577</v>
      </c>
      <c r="C375" s="6" t="s">
        <v>580</v>
      </c>
      <c r="D375" s="6" t="s">
        <v>132</v>
      </c>
      <c r="E375" s="9">
        <v>3230.35496000828</v>
      </c>
      <c r="F375" s="18">
        <v>6493013.469616643</v>
      </c>
      <c r="G375" s="6" t="s">
        <v>129</v>
      </c>
    </row>
    <row r="376" spans="1:7" x14ac:dyDescent="0.25">
      <c r="A376" s="6" t="s">
        <v>19</v>
      </c>
      <c r="B376" s="6" t="s">
        <v>577</v>
      </c>
      <c r="C376" s="6" t="s">
        <v>581</v>
      </c>
      <c r="D376" s="6" t="s">
        <v>132</v>
      </c>
      <c r="E376" s="9">
        <v>3230.35496000828</v>
      </c>
      <c r="F376" s="18">
        <v>6493013.469616643</v>
      </c>
      <c r="G376" s="6" t="s">
        <v>129</v>
      </c>
    </row>
    <row r="377" spans="1:7" x14ac:dyDescent="0.25">
      <c r="A377" s="6" t="s">
        <v>19</v>
      </c>
      <c r="B377" s="6" t="s">
        <v>582</v>
      </c>
      <c r="C377" s="6" t="s">
        <v>583</v>
      </c>
      <c r="D377" s="6" t="s">
        <v>132</v>
      </c>
      <c r="E377" s="9">
        <v>3254.3074917758768</v>
      </c>
      <c r="F377" s="18">
        <v>6541158.0584695125</v>
      </c>
      <c r="G377" s="6" t="s">
        <v>136</v>
      </c>
    </row>
    <row r="378" spans="1:7" x14ac:dyDescent="0.25">
      <c r="A378" s="6" t="s">
        <v>19</v>
      </c>
      <c r="B378" s="6" t="s">
        <v>582</v>
      </c>
      <c r="C378" s="6" t="s">
        <v>584</v>
      </c>
      <c r="D378" s="6" t="s">
        <v>132</v>
      </c>
      <c r="E378" s="9">
        <v>3254.3074917758768</v>
      </c>
      <c r="F378" s="18">
        <v>6541158.0584695125</v>
      </c>
      <c r="G378" s="6" t="s">
        <v>136</v>
      </c>
    </row>
    <row r="379" spans="1:7" x14ac:dyDescent="0.25">
      <c r="A379" s="6" t="s">
        <v>19</v>
      </c>
      <c r="B379" s="6" t="s">
        <v>582</v>
      </c>
      <c r="C379" s="6" t="s">
        <v>585</v>
      </c>
      <c r="D379" s="6" t="s">
        <v>132</v>
      </c>
      <c r="E379" s="9">
        <v>3254.3074917758768</v>
      </c>
      <c r="F379" s="18">
        <v>6541158.0584695125</v>
      </c>
      <c r="G379" s="6" t="s">
        <v>134</v>
      </c>
    </row>
    <row r="380" spans="1:7" x14ac:dyDescent="0.25">
      <c r="A380" s="6" t="s">
        <v>19</v>
      </c>
      <c r="B380" s="6" t="s">
        <v>582</v>
      </c>
      <c r="C380" s="6" t="s">
        <v>586</v>
      </c>
      <c r="D380" s="6" t="s">
        <v>132</v>
      </c>
      <c r="E380" s="9">
        <v>3254.3074917758768</v>
      </c>
      <c r="F380" s="18">
        <v>6541158.0584695125</v>
      </c>
      <c r="G380" s="6" t="s">
        <v>129</v>
      </c>
    </row>
    <row r="381" spans="1:7" x14ac:dyDescent="0.25">
      <c r="A381" s="6" t="s">
        <v>19</v>
      </c>
      <c r="B381" s="6" t="s">
        <v>587</v>
      </c>
      <c r="C381" s="6" t="s">
        <v>588</v>
      </c>
      <c r="D381" s="6" t="s">
        <v>132</v>
      </c>
      <c r="E381" s="9">
        <v>3277.162316447191</v>
      </c>
      <c r="F381" s="18">
        <v>6587096.256058854</v>
      </c>
      <c r="G381" s="6" t="s">
        <v>136</v>
      </c>
    </row>
    <row r="382" spans="1:7" x14ac:dyDescent="0.25">
      <c r="A382" s="6" t="s">
        <v>19</v>
      </c>
      <c r="B382" s="6" t="s">
        <v>587</v>
      </c>
      <c r="C382" s="6" t="s">
        <v>589</v>
      </c>
      <c r="D382" s="6" t="s">
        <v>132</v>
      </c>
      <c r="E382" s="9">
        <v>3277.162316447191</v>
      </c>
      <c r="F382" s="18">
        <v>6587096.256058854</v>
      </c>
      <c r="G382" s="6" t="s">
        <v>136</v>
      </c>
    </row>
    <row r="383" spans="1:7" x14ac:dyDescent="0.25">
      <c r="A383" s="6" t="s">
        <v>19</v>
      </c>
      <c r="B383" s="6" t="s">
        <v>587</v>
      </c>
      <c r="C383" s="6" t="s">
        <v>590</v>
      </c>
      <c r="D383" s="6" t="s">
        <v>132</v>
      </c>
      <c r="E383" s="9">
        <v>3277.162316447191</v>
      </c>
      <c r="F383" s="18">
        <v>6587096.256058854</v>
      </c>
      <c r="G383" s="6" t="s">
        <v>129</v>
      </c>
    </row>
    <row r="384" spans="1:7" x14ac:dyDescent="0.25">
      <c r="A384" s="6" t="s">
        <v>19</v>
      </c>
      <c r="B384" s="6" t="s">
        <v>587</v>
      </c>
      <c r="C384" s="6" t="s">
        <v>591</v>
      </c>
      <c r="D384" s="6" t="s">
        <v>132</v>
      </c>
      <c r="E384" s="9">
        <v>3277.162316447191</v>
      </c>
      <c r="F384" s="18">
        <v>6587096.256058854</v>
      </c>
      <c r="G384" s="6" t="s">
        <v>129</v>
      </c>
    </row>
    <row r="385" spans="1:7" x14ac:dyDescent="0.25">
      <c r="A385" s="6" t="s">
        <v>19</v>
      </c>
      <c r="B385" s="6" t="s">
        <v>592</v>
      </c>
      <c r="C385" s="6" t="s">
        <v>593</v>
      </c>
      <c r="D385" s="6" t="s">
        <v>132</v>
      </c>
      <c r="E385" s="9">
        <v>3298.947580358025</v>
      </c>
      <c r="F385" s="18">
        <v>6630884.63651963</v>
      </c>
      <c r="G385" s="6" t="s">
        <v>129</v>
      </c>
    </row>
    <row r="386" spans="1:7" x14ac:dyDescent="0.25">
      <c r="A386" s="6" t="s">
        <v>19</v>
      </c>
      <c r="B386" s="6" t="s">
        <v>592</v>
      </c>
      <c r="C386" s="6" t="s">
        <v>594</v>
      </c>
      <c r="D386" s="6" t="s">
        <v>132</v>
      </c>
      <c r="E386" s="9">
        <v>3298.947580358025</v>
      </c>
      <c r="F386" s="18">
        <v>6630884.63651963</v>
      </c>
      <c r="G386" s="6" t="s">
        <v>129</v>
      </c>
    </row>
    <row r="387" spans="1:7" x14ac:dyDescent="0.25">
      <c r="A387" s="6" t="s">
        <v>19</v>
      </c>
      <c r="B387" s="6" t="s">
        <v>592</v>
      </c>
      <c r="C387" s="6" t="s">
        <v>595</v>
      </c>
      <c r="D387" s="6" t="s">
        <v>132</v>
      </c>
      <c r="E387" s="9">
        <v>3298.947580358025</v>
      </c>
      <c r="F387" s="18">
        <v>6630884.63651963</v>
      </c>
      <c r="G387" s="6" t="s">
        <v>136</v>
      </c>
    </row>
    <row r="388" spans="1:7" x14ac:dyDescent="0.25">
      <c r="A388" s="6" t="s">
        <v>19</v>
      </c>
      <c r="B388" s="6" t="s">
        <v>592</v>
      </c>
      <c r="C388" s="6" t="s">
        <v>596</v>
      </c>
      <c r="D388" s="6" t="s">
        <v>132</v>
      </c>
      <c r="E388" s="9">
        <v>3298.947580358025</v>
      </c>
      <c r="F388" s="18">
        <v>6630884.63651963</v>
      </c>
      <c r="G388" s="6" t="s">
        <v>134</v>
      </c>
    </row>
    <row r="389" spans="1:7" x14ac:dyDescent="0.25">
      <c r="A389" s="6" t="s">
        <v>19</v>
      </c>
      <c r="B389" s="6" t="s">
        <v>597</v>
      </c>
      <c r="C389" s="6" t="s">
        <v>598</v>
      </c>
      <c r="D389" s="6" t="s">
        <v>132</v>
      </c>
      <c r="E389" s="9">
        <v>3319.6069908367745</v>
      </c>
      <c r="F389" s="18">
        <v>6672410.051581916</v>
      </c>
      <c r="G389" s="6" t="s">
        <v>136</v>
      </c>
    </row>
    <row r="390" spans="1:7" x14ac:dyDescent="0.25">
      <c r="A390" s="6" t="s">
        <v>19</v>
      </c>
      <c r="B390" s="6" t="s">
        <v>597</v>
      </c>
      <c r="C390" s="6" t="s">
        <v>599</v>
      </c>
      <c r="D390" s="6" t="s">
        <v>132</v>
      </c>
      <c r="E390" s="9">
        <v>3319.6069908367745</v>
      </c>
      <c r="F390" s="18">
        <v>6672410.051581916</v>
      </c>
      <c r="G390" s="6" t="s">
        <v>129</v>
      </c>
    </row>
    <row r="391" spans="1:7" x14ac:dyDescent="0.25">
      <c r="A391" s="6" t="s">
        <v>19</v>
      </c>
      <c r="B391" s="6" t="s">
        <v>597</v>
      </c>
      <c r="C391" s="6" t="s">
        <v>600</v>
      </c>
      <c r="D391" s="6" t="s">
        <v>132</v>
      </c>
      <c r="E391" s="9">
        <v>3319.6069908367745</v>
      </c>
      <c r="F391" s="18">
        <v>6672410.051581916</v>
      </c>
      <c r="G391" s="6" t="s">
        <v>134</v>
      </c>
    </row>
    <row r="392" spans="1:7" x14ac:dyDescent="0.25">
      <c r="A392" s="6" t="s">
        <v>19</v>
      </c>
      <c r="B392" s="6" t="s">
        <v>597</v>
      </c>
      <c r="C392" s="6" t="s">
        <v>601</v>
      </c>
      <c r="D392" s="6" t="s">
        <v>132</v>
      </c>
      <c r="E392" s="9">
        <v>3319.6069908367745</v>
      </c>
      <c r="F392" s="18">
        <v>6672410.051581916</v>
      </c>
      <c r="G392" s="6" t="s">
        <v>136</v>
      </c>
    </row>
    <row r="393" spans="1:7" x14ac:dyDescent="0.25">
      <c r="A393" s="6" t="s">
        <v>19</v>
      </c>
      <c r="B393" s="6" t="s">
        <v>602</v>
      </c>
      <c r="C393" s="6" t="s">
        <v>603</v>
      </c>
      <c r="D393" s="6" t="s">
        <v>132</v>
      </c>
      <c r="E393" s="9">
        <v>3338.549474831595</v>
      </c>
      <c r="F393" s="18">
        <v>6710484.444411506</v>
      </c>
      <c r="G393" s="6" t="s">
        <v>134</v>
      </c>
    </row>
    <row r="394" spans="1:7" x14ac:dyDescent="0.25">
      <c r="A394" s="6" t="s">
        <v>19</v>
      </c>
      <c r="B394" s="6" t="s">
        <v>602</v>
      </c>
      <c r="C394" s="6" t="s">
        <v>604</v>
      </c>
      <c r="D394" s="6" t="s">
        <v>132</v>
      </c>
      <c r="E394" s="9">
        <v>3338.549474831595</v>
      </c>
      <c r="F394" s="18">
        <v>6710484.444411506</v>
      </c>
      <c r="G394" s="6" t="s">
        <v>129</v>
      </c>
    </row>
    <row r="395" spans="1:7" x14ac:dyDescent="0.25">
      <c r="A395" s="6" t="s">
        <v>19</v>
      </c>
      <c r="B395" s="6" t="s">
        <v>602</v>
      </c>
      <c r="C395" s="6" t="s">
        <v>605</v>
      </c>
      <c r="D395" s="6" t="s">
        <v>132</v>
      </c>
      <c r="E395" s="9">
        <v>3338.549474831595</v>
      </c>
      <c r="F395" s="18">
        <v>6710484.444411506</v>
      </c>
      <c r="G395" s="6" t="s">
        <v>129</v>
      </c>
    </row>
    <row r="396" spans="1:7" x14ac:dyDescent="0.25">
      <c r="A396" s="6" t="s">
        <v>19</v>
      </c>
      <c r="B396" s="6" t="s">
        <v>602</v>
      </c>
      <c r="C396" s="6" t="s">
        <v>606</v>
      </c>
      <c r="D396" s="6" t="s">
        <v>132</v>
      </c>
      <c r="E396" s="9">
        <v>3338.549474831595</v>
      </c>
      <c r="F396" s="18">
        <v>6710484.444411506</v>
      </c>
      <c r="G396" s="6" t="s">
        <v>136</v>
      </c>
    </row>
    <row r="397" spans="1:7" x14ac:dyDescent="0.25">
      <c r="A397" s="6" t="s">
        <v>19</v>
      </c>
      <c r="B397" s="6" t="s">
        <v>607</v>
      </c>
      <c r="C397" s="6" t="s">
        <v>608</v>
      </c>
      <c r="D397" s="6" t="s">
        <v>132</v>
      </c>
      <c r="E397" s="9">
        <v>3356.957178446176</v>
      </c>
      <c r="F397" s="18">
        <v>6747483.928676814</v>
      </c>
      <c r="G397" s="6" t="s">
        <v>129</v>
      </c>
    </row>
    <row r="398" spans="1:7" x14ac:dyDescent="0.25">
      <c r="A398" s="6" t="s">
        <v>19</v>
      </c>
      <c r="B398" s="6" t="s">
        <v>607</v>
      </c>
      <c r="C398" s="6" t="s">
        <v>609</v>
      </c>
      <c r="D398" s="6" t="s">
        <v>132</v>
      </c>
      <c r="E398" s="9">
        <v>3356.957178446176</v>
      </c>
      <c r="F398" s="18">
        <v>6747483.928676814</v>
      </c>
      <c r="G398" s="6" t="s">
        <v>136</v>
      </c>
    </row>
    <row r="399" spans="1:7" x14ac:dyDescent="0.25">
      <c r="A399" s="6" t="s">
        <v>19</v>
      </c>
      <c r="B399" s="6" t="s">
        <v>607</v>
      </c>
      <c r="C399" s="6" t="s">
        <v>610</v>
      </c>
      <c r="D399" s="6" t="s">
        <v>132</v>
      </c>
      <c r="E399" s="9">
        <v>3356.957178446176</v>
      </c>
      <c r="F399" s="18">
        <v>6747483.928676814</v>
      </c>
      <c r="G399" s="6" t="s">
        <v>136</v>
      </c>
    </row>
    <row r="400" spans="1:7" x14ac:dyDescent="0.25">
      <c r="A400" s="6" t="s">
        <v>19</v>
      </c>
      <c r="B400" s="6" t="s">
        <v>607</v>
      </c>
      <c r="C400" s="6" t="s">
        <v>611</v>
      </c>
      <c r="D400" s="6" t="s">
        <v>132</v>
      </c>
      <c r="E400" s="9">
        <v>3356.957178446176</v>
      </c>
      <c r="F400" s="18">
        <v>6747483.928676814</v>
      </c>
      <c r="G400" s="6" t="s">
        <v>134</v>
      </c>
    </row>
    <row r="401" spans="1:7" x14ac:dyDescent="0.25">
      <c r="A401" s="6" t="s">
        <v>19</v>
      </c>
      <c r="B401" s="6" t="s">
        <v>612</v>
      </c>
      <c r="C401" s="6" t="s">
        <v>613</v>
      </c>
      <c r="D401" s="6" t="s">
        <v>132</v>
      </c>
      <c r="E401" s="9">
        <v>3374.21088229287</v>
      </c>
      <c r="F401" s="18">
        <v>6782163.873408669</v>
      </c>
      <c r="G401" s="6" t="s">
        <v>129</v>
      </c>
    </row>
    <row r="402" spans="1:7" x14ac:dyDescent="0.25">
      <c r="A402" s="6" t="s">
        <v>19</v>
      </c>
      <c r="B402" s="6" t="s">
        <v>612</v>
      </c>
      <c r="C402" s="6" t="s">
        <v>614</v>
      </c>
      <c r="D402" s="6" t="s">
        <v>132</v>
      </c>
      <c r="E402" s="9">
        <v>3374.21088229287</v>
      </c>
      <c r="F402" s="18">
        <v>6782163.873408669</v>
      </c>
      <c r="G402" s="6" t="s">
        <v>134</v>
      </c>
    </row>
    <row r="403" spans="1:7" x14ac:dyDescent="0.25">
      <c r="A403" s="6" t="s">
        <v>19</v>
      </c>
      <c r="B403" s="6" t="s">
        <v>612</v>
      </c>
      <c r="C403" s="6" t="s">
        <v>615</v>
      </c>
      <c r="D403" s="6" t="s">
        <v>132</v>
      </c>
      <c r="E403" s="9">
        <v>3374.21088229287</v>
      </c>
      <c r="F403" s="18">
        <v>6782163.873408669</v>
      </c>
      <c r="G403" s="6" t="s">
        <v>136</v>
      </c>
    </row>
    <row r="404" spans="1:7" x14ac:dyDescent="0.25">
      <c r="A404" s="6" t="s">
        <v>19</v>
      </c>
      <c r="B404" s="6" t="s">
        <v>612</v>
      </c>
      <c r="C404" s="6" t="s">
        <v>616</v>
      </c>
      <c r="D404" s="6" t="s">
        <v>132</v>
      </c>
      <c r="E404" s="9">
        <v>3374.21088229287</v>
      </c>
      <c r="F404" s="18">
        <v>6782163.873408669</v>
      </c>
      <c r="G404" s="6" t="s">
        <v>129</v>
      </c>
    </row>
    <row r="405" spans="1:7" x14ac:dyDescent="0.25">
      <c r="A405" s="6" t="s">
        <v>19</v>
      </c>
      <c r="B405" s="6" t="s">
        <v>617</v>
      </c>
      <c r="C405" s="6" t="s">
        <v>618</v>
      </c>
      <c r="D405" s="6" t="s">
        <v>132</v>
      </c>
      <c r="E405" s="9">
        <v>3389.719513319833</v>
      </c>
      <c r="F405" s="18">
        <v>6813336.221772864</v>
      </c>
      <c r="G405" s="6" t="s">
        <v>129</v>
      </c>
    </row>
    <row r="406" spans="1:7" x14ac:dyDescent="0.25">
      <c r="A406" s="6" t="s">
        <v>19</v>
      </c>
      <c r="B406" s="6" t="s">
        <v>617</v>
      </c>
      <c r="C406" s="6" t="s">
        <v>619</v>
      </c>
      <c r="D406" s="6" t="s">
        <v>132</v>
      </c>
      <c r="E406" s="9">
        <v>3389.719513319833</v>
      </c>
      <c r="F406" s="18">
        <v>6813336.221772864</v>
      </c>
      <c r="G406" s="6" t="s">
        <v>136</v>
      </c>
    </row>
    <row r="407" spans="1:7" x14ac:dyDescent="0.25">
      <c r="A407" s="6" t="s">
        <v>19</v>
      </c>
      <c r="B407" s="6" t="s">
        <v>617</v>
      </c>
      <c r="C407" s="6" t="s">
        <v>620</v>
      </c>
      <c r="D407" s="6" t="s">
        <v>132</v>
      </c>
      <c r="E407" s="9">
        <v>3389.719513319833</v>
      </c>
      <c r="F407" s="18">
        <v>6813336.221772864</v>
      </c>
      <c r="G407" s="6" t="s">
        <v>134</v>
      </c>
    </row>
    <row r="408" spans="1:7" x14ac:dyDescent="0.25">
      <c r="A408" s="6" t="s">
        <v>19</v>
      </c>
      <c r="B408" s="6" t="s">
        <v>617</v>
      </c>
      <c r="C408" s="6" t="s">
        <v>621</v>
      </c>
      <c r="D408" s="6" t="s">
        <v>132</v>
      </c>
      <c r="E408" s="9">
        <v>3389.719513319833</v>
      </c>
      <c r="F408" s="18">
        <v>6813336.221772864</v>
      </c>
      <c r="G408" s="6" t="s">
        <v>129</v>
      </c>
    </row>
    <row r="409" spans="1:7" x14ac:dyDescent="0.25">
      <c r="A409" s="6" t="s">
        <v>19</v>
      </c>
      <c r="B409" s="6" t="s">
        <v>622</v>
      </c>
      <c r="C409" s="6" t="s">
        <v>623</v>
      </c>
      <c r="D409" s="6" t="s">
        <v>132</v>
      </c>
      <c r="E409" s="9">
        <v>3404.0741445789095</v>
      </c>
      <c r="F409" s="18">
        <v>6842189.030603608</v>
      </c>
      <c r="G409" s="6" t="s">
        <v>136</v>
      </c>
    </row>
    <row r="410" spans="1:7" x14ac:dyDescent="0.25">
      <c r="A410" s="6" t="s">
        <v>19</v>
      </c>
      <c r="B410" s="6" t="s">
        <v>622</v>
      </c>
      <c r="C410" s="6" t="s">
        <v>624</v>
      </c>
      <c r="D410" s="6" t="s">
        <v>132</v>
      </c>
      <c r="E410" s="9">
        <v>3404.0741445789095</v>
      </c>
      <c r="F410" s="18">
        <v>6842189.030603608</v>
      </c>
      <c r="G410" s="6" t="s">
        <v>129</v>
      </c>
    </row>
    <row r="411" spans="1:7" x14ac:dyDescent="0.25">
      <c r="A411" s="6" t="s">
        <v>19</v>
      </c>
      <c r="B411" s="6" t="s">
        <v>622</v>
      </c>
      <c r="C411" s="6" t="s">
        <v>625</v>
      </c>
      <c r="D411" s="6" t="s">
        <v>132</v>
      </c>
      <c r="E411" s="9">
        <v>3404.0741445789095</v>
      </c>
      <c r="F411" s="18">
        <v>6842189.030603608</v>
      </c>
      <c r="G411" s="6" t="s">
        <v>129</v>
      </c>
    </row>
    <row r="412" spans="1:7" x14ac:dyDescent="0.25">
      <c r="A412" s="6" t="s">
        <v>19</v>
      </c>
      <c r="B412" s="6" t="s">
        <v>622</v>
      </c>
      <c r="C412" s="6" t="s">
        <v>626</v>
      </c>
      <c r="D412" s="6" t="s">
        <v>132</v>
      </c>
      <c r="E412" s="9">
        <v>3404.0741445789095</v>
      </c>
      <c r="F412" s="18">
        <v>6842189.030603608</v>
      </c>
      <c r="G412" s="6" t="s">
        <v>134</v>
      </c>
    </row>
    <row r="413" spans="1:7" x14ac:dyDescent="0.25">
      <c r="A413" s="6" t="s">
        <v>19</v>
      </c>
      <c r="B413" s="6" t="s">
        <v>627</v>
      </c>
      <c r="C413" s="6" t="s">
        <v>628</v>
      </c>
      <c r="D413" s="6" t="s">
        <v>132</v>
      </c>
      <c r="E413" s="9">
        <v>3417.2747760700995</v>
      </c>
      <c r="F413" s="18">
        <v>6868722.2999009</v>
      </c>
      <c r="G413" s="6" t="s">
        <v>136</v>
      </c>
    </row>
    <row r="414" spans="1:7" x14ac:dyDescent="0.25">
      <c r="A414" s="6" t="s">
        <v>19</v>
      </c>
      <c r="B414" s="6" t="s">
        <v>627</v>
      </c>
      <c r="C414" s="6" t="s">
        <v>629</v>
      </c>
      <c r="D414" s="6" t="s">
        <v>132</v>
      </c>
      <c r="E414" s="9">
        <v>3417.2747760700995</v>
      </c>
      <c r="F414" s="18">
        <v>6868722.2999009</v>
      </c>
      <c r="G414" s="6" t="s">
        <v>136</v>
      </c>
    </row>
    <row r="415" spans="1:7" x14ac:dyDescent="0.25">
      <c r="A415" s="6" t="s">
        <v>19</v>
      </c>
      <c r="B415" s="6" t="s">
        <v>627</v>
      </c>
      <c r="C415" s="6" t="s">
        <v>630</v>
      </c>
      <c r="D415" s="6" t="s">
        <v>132</v>
      </c>
      <c r="E415" s="9">
        <v>3417.2747760700995</v>
      </c>
      <c r="F415" s="18">
        <v>6868722.2999009</v>
      </c>
      <c r="G415" s="6" t="s">
        <v>129</v>
      </c>
    </row>
    <row r="416" spans="1:7" x14ac:dyDescent="0.25">
      <c r="A416" s="6" t="s">
        <v>19</v>
      </c>
      <c r="B416" s="6" t="s">
        <v>627</v>
      </c>
      <c r="C416" s="6" t="s">
        <v>631</v>
      </c>
      <c r="D416" s="6" t="s">
        <v>132</v>
      </c>
      <c r="E416" s="9">
        <v>3417.2747760700995</v>
      </c>
      <c r="F416" s="18">
        <v>6868722.2999009</v>
      </c>
      <c r="G416" s="6" t="s">
        <v>129</v>
      </c>
    </row>
    <row r="417" spans="1:7" x14ac:dyDescent="0.25">
      <c r="A417" s="6" t="s">
        <v>19</v>
      </c>
      <c r="B417" s="6" t="s">
        <v>632</v>
      </c>
      <c r="C417" s="6" t="s">
        <v>633</v>
      </c>
      <c r="D417" s="6" t="s">
        <v>132</v>
      </c>
      <c r="E417" s="9">
        <v>3429.2651151217988</v>
      </c>
      <c r="F417" s="18">
        <v>6892822.881394816</v>
      </c>
      <c r="G417" s="6" t="s">
        <v>134</v>
      </c>
    </row>
    <row r="418" spans="1:7" x14ac:dyDescent="0.25">
      <c r="A418" s="6" t="s">
        <v>19</v>
      </c>
      <c r="B418" s="6" t="s">
        <v>632</v>
      </c>
      <c r="C418" s="6" t="s">
        <v>634</v>
      </c>
      <c r="D418" s="6" t="s">
        <v>132</v>
      </c>
      <c r="E418" s="9">
        <v>3429.2651151217988</v>
      </c>
      <c r="F418" s="18">
        <v>6892822.881394816</v>
      </c>
      <c r="G418" s="6" t="s">
        <v>136</v>
      </c>
    </row>
    <row r="419" spans="1:7" x14ac:dyDescent="0.25">
      <c r="A419" s="6" t="s">
        <v>19</v>
      </c>
      <c r="B419" s="6" t="s">
        <v>632</v>
      </c>
      <c r="C419" s="6" t="s">
        <v>635</v>
      </c>
      <c r="D419" s="6" t="s">
        <v>132</v>
      </c>
      <c r="E419" s="9">
        <v>3429.2651151217988</v>
      </c>
      <c r="F419" s="18">
        <v>6892822.881394816</v>
      </c>
      <c r="G419" s="6" t="s">
        <v>129</v>
      </c>
    </row>
    <row r="420" spans="1:7" x14ac:dyDescent="0.25">
      <c r="A420" s="6" t="s">
        <v>19</v>
      </c>
      <c r="B420" s="6" t="s">
        <v>632</v>
      </c>
      <c r="C420" s="6" t="s">
        <v>636</v>
      </c>
      <c r="D420" s="6" t="s">
        <v>132</v>
      </c>
      <c r="E420" s="9">
        <v>3429.2651151217988</v>
      </c>
      <c r="F420" s="18">
        <v>6892822.881394816</v>
      </c>
      <c r="G420" s="6" t="s">
        <v>129</v>
      </c>
    </row>
    <row r="421" spans="1:7" x14ac:dyDescent="0.25">
      <c r="A421" s="6" t="s">
        <v>19</v>
      </c>
      <c r="B421" s="6" t="s">
        <v>637</v>
      </c>
      <c r="C421" s="6" t="s">
        <v>638</v>
      </c>
      <c r="D421" s="6" t="s">
        <v>132</v>
      </c>
      <c r="E421" s="9">
        <v>3440.1014544056115</v>
      </c>
      <c r="F421" s="18">
        <v>6914603.9233552795</v>
      </c>
      <c r="G421" s="6" t="s">
        <v>136</v>
      </c>
    </row>
    <row r="422" spans="1:7" x14ac:dyDescent="0.25">
      <c r="A422" s="6" t="s">
        <v>19</v>
      </c>
      <c r="B422" s="6" t="s">
        <v>637</v>
      </c>
      <c r="C422" s="6" t="s">
        <v>639</v>
      </c>
      <c r="D422" s="6" t="s">
        <v>132</v>
      </c>
      <c r="E422" s="9">
        <v>3440.1014544056115</v>
      </c>
      <c r="F422" s="18">
        <v>6914603.9233552795</v>
      </c>
      <c r="G422" s="6" t="s">
        <v>129</v>
      </c>
    </row>
    <row r="423" spans="1:7" x14ac:dyDescent="0.25">
      <c r="A423" s="6" t="s">
        <v>19</v>
      </c>
      <c r="B423" s="6" t="s">
        <v>637</v>
      </c>
      <c r="C423" s="6" t="s">
        <v>640</v>
      </c>
      <c r="D423" s="6" t="s">
        <v>132</v>
      </c>
      <c r="E423" s="9">
        <v>3440.1014544056115</v>
      </c>
      <c r="F423" s="18">
        <v>6914603.9233552795</v>
      </c>
      <c r="G423" s="6" t="s">
        <v>129</v>
      </c>
    </row>
    <row r="424" spans="1:7" x14ac:dyDescent="0.25">
      <c r="A424" s="6" t="s">
        <v>19</v>
      </c>
      <c r="B424" s="6" t="s">
        <v>637</v>
      </c>
      <c r="C424" s="6" t="s">
        <v>641</v>
      </c>
      <c r="D424" s="6" t="s">
        <v>132</v>
      </c>
      <c r="E424" s="9">
        <v>3440.1014544056115</v>
      </c>
      <c r="F424" s="18">
        <v>6914603.9233552795</v>
      </c>
      <c r="G424" s="6" t="s">
        <v>136</v>
      </c>
    </row>
    <row r="425" spans="1:7" x14ac:dyDescent="0.25">
      <c r="A425" s="6" t="s">
        <v>19</v>
      </c>
      <c r="B425" s="6" t="s">
        <v>642</v>
      </c>
      <c r="C425" s="6" t="s">
        <v>643</v>
      </c>
      <c r="D425" s="6" t="s">
        <v>132</v>
      </c>
      <c r="E425" s="9">
        <v>3449.727501249933</v>
      </c>
      <c r="F425" s="18">
        <v>6933952.277512366</v>
      </c>
      <c r="G425" s="6" t="s">
        <v>136</v>
      </c>
    </row>
    <row r="426" spans="1:7" x14ac:dyDescent="0.25">
      <c r="A426" s="6" t="s">
        <v>19</v>
      </c>
      <c r="B426" s="6" t="s">
        <v>642</v>
      </c>
      <c r="C426" s="6" t="s">
        <v>644</v>
      </c>
      <c r="D426" s="6" t="s">
        <v>132</v>
      </c>
      <c r="E426" s="9">
        <v>3449.727501249933</v>
      </c>
      <c r="F426" s="18">
        <v>6933952.277512366</v>
      </c>
      <c r="G426" s="6" t="s">
        <v>129</v>
      </c>
    </row>
    <row r="427" spans="1:7" x14ac:dyDescent="0.25">
      <c r="A427" s="6" t="s">
        <v>19</v>
      </c>
      <c r="B427" s="6" t="s">
        <v>642</v>
      </c>
      <c r="C427" s="6" t="s">
        <v>645</v>
      </c>
      <c r="D427" s="6" t="s">
        <v>132</v>
      </c>
      <c r="E427" s="9">
        <v>3449.727501249933</v>
      </c>
      <c r="F427" s="18">
        <v>6933952.277512366</v>
      </c>
      <c r="G427" s="6" t="s">
        <v>129</v>
      </c>
    </row>
    <row r="428" spans="1:7" x14ac:dyDescent="0.25">
      <c r="A428" s="6" t="s">
        <v>19</v>
      </c>
      <c r="B428" s="6" t="s">
        <v>642</v>
      </c>
      <c r="C428" s="6" t="s">
        <v>646</v>
      </c>
      <c r="D428" s="6" t="s">
        <v>132</v>
      </c>
      <c r="E428" s="9">
        <v>3449.727501249933</v>
      </c>
      <c r="F428" s="18">
        <v>6933952.277512366</v>
      </c>
      <c r="G428" s="6" t="s">
        <v>136</v>
      </c>
    </row>
    <row r="429" spans="1:7" x14ac:dyDescent="0.25">
      <c r="A429" s="6" t="s">
        <v>19</v>
      </c>
      <c r="B429" s="6" t="s">
        <v>647</v>
      </c>
      <c r="C429" s="6" t="s">
        <v>648</v>
      </c>
      <c r="D429" s="6" t="s">
        <v>132</v>
      </c>
      <c r="E429" s="9">
        <v>3458.171401990567</v>
      </c>
      <c r="F429" s="18">
        <v>6950924.5180010395</v>
      </c>
      <c r="G429" s="6" t="s">
        <v>134</v>
      </c>
    </row>
    <row r="430" spans="1:7" x14ac:dyDescent="0.25">
      <c r="A430" s="6" t="s">
        <v>19</v>
      </c>
      <c r="B430" s="6" t="s">
        <v>647</v>
      </c>
      <c r="C430" s="6" t="s">
        <v>649</v>
      </c>
      <c r="D430" s="6" t="s">
        <v>132</v>
      </c>
      <c r="E430" s="9">
        <v>3458.171401990567</v>
      </c>
      <c r="F430" s="18">
        <v>6950924.5180010395</v>
      </c>
      <c r="G430" s="6" t="s">
        <v>129</v>
      </c>
    </row>
    <row r="431" spans="1:7" x14ac:dyDescent="0.25">
      <c r="A431" s="6" t="s">
        <v>19</v>
      </c>
      <c r="B431" s="6" t="s">
        <v>647</v>
      </c>
      <c r="C431" s="6" t="s">
        <v>650</v>
      </c>
      <c r="D431" s="6" t="s">
        <v>132</v>
      </c>
      <c r="E431" s="9">
        <v>3458.171401990567</v>
      </c>
      <c r="F431" s="18">
        <v>6950924.5180010395</v>
      </c>
      <c r="G431" s="6" t="s">
        <v>129</v>
      </c>
    </row>
    <row r="432" spans="1:7" x14ac:dyDescent="0.25">
      <c r="A432" s="6" t="s">
        <v>19</v>
      </c>
      <c r="B432" s="6" t="s">
        <v>647</v>
      </c>
      <c r="C432" s="6" t="s">
        <v>651</v>
      </c>
      <c r="D432" s="6" t="s">
        <v>132</v>
      </c>
      <c r="E432" s="9">
        <v>3458.171401990567</v>
      </c>
      <c r="F432" s="18">
        <v>6950924.5180010395</v>
      </c>
      <c r="G432" s="6" t="s">
        <v>136</v>
      </c>
    </row>
    <row r="433" spans="1:7" x14ac:dyDescent="0.25">
      <c r="A433" s="6" t="s">
        <v>19</v>
      </c>
      <c r="B433" s="6" t="s">
        <v>652</v>
      </c>
      <c r="C433" s="6" t="s">
        <v>653</v>
      </c>
      <c r="D433" s="6" t="s">
        <v>132</v>
      </c>
      <c r="E433" s="9">
        <v>3465.4331566275114</v>
      </c>
      <c r="F433" s="18">
        <v>6965520.644821298</v>
      </c>
      <c r="G433" s="6" t="s">
        <v>129</v>
      </c>
    </row>
    <row r="434" spans="1:7" x14ac:dyDescent="0.25">
      <c r="A434" s="6" t="s">
        <v>19</v>
      </c>
      <c r="B434" s="6" t="s">
        <v>652</v>
      </c>
      <c r="C434" s="6" t="s">
        <v>654</v>
      </c>
      <c r="D434" s="6" t="s">
        <v>132</v>
      </c>
      <c r="E434" s="9">
        <v>3465.4331566275114</v>
      </c>
      <c r="F434" s="18">
        <v>6965520.644821298</v>
      </c>
      <c r="G434" s="6" t="s">
        <v>136</v>
      </c>
    </row>
    <row r="435" spans="1:7" x14ac:dyDescent="0.25">
      <c r="A435" s="6" t="s">
        <v>19</v>
      </c>
      <c r="B435" s="6" t="s">
        <v>652</v>
      </c>
      <c r="C435" s="6" t="s">
        <v>655</v>
      </c>
      <c r="D435" s="6" t="s">
        <v>132</v>
      </c>
      <c r="E435" s="9">
        <v>3465.4331566275114</v>
      </c>
      <c r="F435" s="18">
        <v>6965520.644821298</v>
      </c>
      <c r="G435" s="6" t="s">
        <v>136</v>
      </c>
    </row>
    <row r="436" spans="1:7" x14ac:dyDescent="0.25">
      <c r="A436" s="6" t="s">
        <v>19</v>
      </c>
      <c r="B436" s="6" t="s">
        <v>652</v>
      </c>
      <c r="C436" s="6" t="s">
        <v>656</v>
      </c>
      <c r="D436" s="6" t="s">
        <v>132</v>
      </c>
      <c r="E436" s="9">
        <v>3465.4331566275114</v>
      </c>
      <c r="F436" s="18">
        <v>6965520.644821298</v>
      </c>
      <c r="G436" s="6" t="s">
        <v>129</v>
      </c>
    </row>
    <row r="437" spans="1:7" x14ac:dyDescent="0.25">
      <c r="A437" s="6" t="s">
        <v>19</v>
      </c>
      <c r="B437" s="6" t="s">
        <v>657</v>
      </c>
      <c r="C437" s="6" t="s">
        <v>658</v>
      </c>
      <c r="D437" s="6" t="s">
        <v>132</v>
      </c>
      <c r="E437" s="9">
        <v>3470.865399437319</v>
      </c>
      <c r="F437" s="18">
        <v>6976439.452869011</v>
      </c>
      <c r="G437" s="6" t="s">
        <v>129</v>
      </c>
    </row>
    <row r="438" spans="1:7" x14ac:dyDescent="0.25">
      <c r="A438" s="6" t="s">
        <v>19</v>
      </c>
      <c r="B438" s="6" t="s">
        <v>657</v>
      </c>
      <c r="C438" s="6" t="s">
        <v>659</v>
      </c>
      <c r="D438" s="6" t="s">
        <v>132</v>
      </c>
      <c r="E438" s="9">
        <v>3470.865399437319</v>
      </c>
      <c r="F438" s="18">
        <v>6976439.452869011</v>
      </c>
      <c r="G438" s="6" t="s">
        <v>136</v>
      </c>
    </row>
    <row r="439" spans="1:7" x14ac:dyDescent="0.25">
      <c r="A439" s="6" t="s">
        <v>19</v>
      </c>
      <c r="B439" s="6" t="s">
        <v>657</v>
      </c>
      <c r="C439" s="6" t="s">
        <v>660</v>
      </c>
      <c r="D439" s="6" t="s">
        <v>132</v>
      </c>
      <c r="E439" s="9">
        <v>3470.865399437319</v>
      </c>
      <c r="F439" s="18">
        <v>6976439.452869011</v>
      </c>
      <c r="G439" s="6" t="s">
        <v>136</v>
      </c>
    </row>
    <row r="440" spans="1:7" x14ac:dyDescent="0.25">
      <c r="A440" s="6" t="s">
        <v>19</v>
      </c>
      <c r="B440" s="6" t="s">
        <v>657</v>
      </c>
      <c r="C440" s="6" t="s">
        <v>661</v>
      </c>
      <c r="D440" s="6" t="s">
        <v>132</v>
      </c>
      <c r="E440" s="9">
        <v>3470.865399437319</v>
      </c>
      <c r="F440" s="18">
        <v>6976439.452869011</v>
      </c>
      <c r="G440" s="6" t="s">
        <v>129</v>
      </c>
    </row>
    <row r="441" spans="1:7" x14ac:dyDescent="0.25">
      <c r="A441" s="6" t="s">
        <v>19</v>
      </c>
      <c r="B441" s="6" t="s">
        <v>662</v>
      </c>
      <c r="C441" s="6" t="s">
        <v>663</v>
      </c>
      <c r="D441" s="6" t="s">
        <v>132</v>
      </c>
      <c r="E441" s="9">
        <v>3475.0873498076357</v>
      </c>
      <c r="F441" s="18">
        <v>6984925.573113347</v>
      </c>
      <c r="G441" s="6" t="s">
        <v>129</v>
      </c>
    </row>
    <row r="442" spans="1:7" x14ac:dyDescent="0.25">
      <c r="A442" s="6" t="s">
        <v>19</v>
      </c>
      <c r="B442" s="6" t="s">
        <v>662</v>
      </c>
      <c r="C442" s="6" t="s">
        <v>664</v>
      </c>
      <c r="D442" s="6" t="s">
        <v>132</v>
      </c>
      <c r="E442" s="9">
        <v>3475.0873498076357</v>
      </c>
      <c r="F442" s="18">
        <v>6984925.573113347</v>
      </c>
      <c r="G442" s="6" t="s">
        <v>136</v>
      </c>
    </row>
    <row r="443" spans="1:7" x14ac:dyDescent="0.25">
      <c r="A443" s="6" t="s">
        <v>19</v>
      </c>
      <c r="B443" s="6" t="s">
        <v>662</v>
      </c>
      <c r="C443" s="6" t="s">
        <v>665</v>
      </c>
      <c r="D443" s="6" t="s">
        <v>132</v>
      </c>
      <c r="E443" s="9">
        <v>3475.0873498076357</v>
      </c>
      <c r="F443" s="18">
        <v>6984925.573113347</v>
      </c>
      <c r="G443" s="6" t="s">
        <v>136</v>
      </c>
    </row>
    <row r="444" spans="1:7" x14ac:dyDescent="0.25">
      <c r="A444" s="6" t="s">
        <v>19</v>
      </c>
      <c r="B444" s="6" t="s">
        <v>662</v>
      </c>
      <c r="C444" s="6" t="s">
        <v>666</v>
      </c>
      <c r="D444" s="6" t="s">
        <v>132</v>
      </c>
      <c r="E444" s="9">
        <v>3475.0873498076357</v>
      </c>
      <c r="F444" s="18">
        <v>6984925.573113347</v>
      </c>
      <c r="G444" s="6" t="s">
        <v>129</v>
      </c>
    </row>
    <row r="445" spans="1:7" x14ac:dyDescent="0.25">
      <c r="A445" s="6" t="s">
        <v>19</v>
      </c>
      <c r="B445" s="6" t="s">
        <v>227</v>
      </c>
      <c r="C445" s="6" t="s">
        <v>667</v>
      </c>
      <c r="D445" s="6" t="s">
        <v>190</v>
      </c>
      <c r="E445" s="9">
        <v>4448.500227187843</v>
      </c>
      <c r="F445" s="18">
        <v>6183415.315791102</v>
      </c>
      <c r="G445" s="6" t="s">
        <v>136</v>
      </c>
    </row>
    <row r="446" spans="1:7" x14ac:dyDescent="0.25">
      <c r="A446" s="6" t="s">
        <v>19</v>
      </c>
      <c r="B446" s="6" t="s">
        <v>227</v>
      </c>
      <c r="C446" s="6" t="s">
        <v>668</v>
      </c>
      <c r="D446" s="6" t="s">
        <v>190</v>
      </c>
      <c r="E446" s="9">
        <v>4448.500227187843</v>
      </c>
      <c r="F446" s="18">
        <v>6183415.315791102</v>
      </c>
      <c r="G446" s="6" t="s">
        <v>134</v>
      </c>
    </row>
    <row r="447" spans="1:7" x14ac:dyDescent="0.25">
      <c r="A447" s="6" t="s">
        <v>19</v>
      </c>
      <c r="B447" s="6" t="s">
        <v>227</v>
      </c>
      <c r="C447" s="6" t="s">
        <v>669</v>
      </c>
      <c r="D447" s="6" t="s">
        <v>190</v>
      </c>
      <c r="E447" s="9">
        <v>4448.500227187843</v>
      </c>
      <c r="F447" s="18">
        <v>6183415.315791102</v>
      </c>
      <c r="G447" s="6" t="s">
        <v>129</v>
      </c>
    </row>
    <row r="448" spans="1:7" x14ac:dyDescent="0.25">
      <c r="A448" s="6" t="s">
        <v>19</v>
      </c>
      <c r="B448" s="6" t="s">
        <v>227</v>
      </c>
      <c r="C448" s="6" t="s">
        <v>670</v>
      </c>
      <c r="D448" s="6" t="s">
        <v>190</v>
      </c>
      <c r="E448" s="9">
        <v>4448.500227187843</v>
      </c>
      <c r="F448" s="18">
        <v>6183415.315791102</v>
      </c>
      <c r="G448" s="6" t="s">
        <v>136</v>
      </c>
    </row>
    <row r="449" spans="1:7" x14ac:dyDescent="0.25">
      <c r="A449" s="6" t="s">
        <v>19</v>
      </c>
      <c r="B449" s="6" t="s">
        <v>232</v>
      </c>
      <c r="C449" s="6" t="s">
        <v>671</v>
      </c>
      <c r="D449" s="6" t="s">
        <v>190</v>
      </c>
      <c r="E449" s="9">
        <v>4448.500227187843</v>
      </c>
      <c r="F449" s="18">
        <v>6183415.315791102</v>
      </c>
      <c r="G449" s="6" t="s">
        <v>136</v>
      </c>
    </row>
    <row r="450" spans="1:7" x14ac:dyDescent="0.25">
      <c r="A450" s="6" t="s">
        <v>19</v>
      </c>
      <c r="B450" s="6" t="s">
        <v>232</v>
      </c>
      <c r="C450" s="6" t="s">
        <v>672</v>
      </c>
      <c r="D450" s="6" t="s">
        <v>190</v>
      </c>
      <c r="E450" s="9">
        <v>4448.500227187843</v>
      </c>
      <c r="F450" s="18">
        <v>6183415.315791102</v>
      </c>
      <c r="G450" s="6" t="s">
        <v>136</v>
      </c>
    </row>
    <row r="451" spans="1:7" x14ac:dyDescent="0.25">
      <c r="A451" s="6" t="s">
        <v>19</v>
      </c>
      <c r="B451" s="6" t="s">
        <v>232</v>
      </c>
      <c r="C451" s="6" t="s">
        <v>673</v>
      </c>
      <c r="D451" s="6" t="s">
        <v>190</v>
      </c>
      <c r="E451" s="9">
        <v>4448.500227187843</v>
      </c>
      <c r="F451" s="18">
        <v>6183415.315791102</v>
      </c>
      <c r="G451" s="6" t="s">
        <v>129</v>
      </c>
    </row>
    <row r="452" spans="1:7" x14ac:dyDescent="0.25">
      <c r="A452" s="6" t="s">
        <v>19</v>
      </c>
      <c r="B452" s="6" t="s">
        <v>232</v>
      </c>
      <c r="C452" s="6" t="s">
        <v>674</v>
      </c>
      <c r="D452" s="6" t="s">
        <v>190</v>
      </c>
      <c r="E452" s="9">
        <v>4448.500227187843</v>
      </c>
      <c r="F452" s="18">
        <v>6183415.315791102</v>
      </c>
      <c r="G452" s="6" t="s">
        <v>134</v>
      </c>
    </row>
    <row r="453" spans="1:7" x14ac:dyDescent="0.25">
      <c r="A453" s="6" t="s">
        <v>19</v>
      </c>
      <c r="B453" s="6" t="s">
        <v>237</v>
      </c>
      <c r="C453" s="6" t="s">
        <v>675</v>
      </c>
      <c r="D453" s="6" t="s">
        <v>190</v>
      </c>
      <c r="E453" s="9">
        <v>4448.500227187843</v>
      </c>
      <c r="F453" s="18">
        <v>6183415.315791102</v>
      </c>
      <c r="G453" s="6" t="s">
        <v>129</v>
      </c>
    </row>
    <row r="454" spans="1:7" x14ac:dyDescent="0.25">
      <c r="A454" s="6" t="s">
        <v>19</v>
      </c>
      <c r="B454" s="6" t="s">
        <v>237</v>
      </c>
      <c r="C454" s="6" t="s">
        <v>676</v>
      </c>
      <c r="D454" s="6" t="s">
        <v>190</v>
      </c>
      <c r="E454" s="9">
        <v>4448.500227187843</v>
      </c>
      <c r="F454" s="18">
        <v>6183415.315791102</v>
      </c>
      <c r="G454" s="6" t="s">
        <v>136</v>
      </c>
    </row>
    <row r="455" spans="1:7" x14ac:dyDescent="0.25">
      <c r="A455" s="6" t="s">
        <v>19</v>
      </c>
      <c r="B455" s="6" t="s">
        <v>237</v>
      </c>
      <c r="C455" s="6" t="s">
        <v>677</v>
      </c>
      <c r="D455" s="6" t="s">
        <v>190</v>
      </c>
      <c r="E455" s="9">
        <v>4448.500227187843</v>
      </c>
      <c r="F455" s="18">
        <v>6183415.315791102</v>
      </c>
      <c r="G455" s="6" t="s">
        <v>136</v>
      </c>
    </row>
    <row r="456" spans="1:7" x14ac:dyDescent="0.25">
      <c r="A456" s="6" t="s">
        <v>19</v>
      </c>
      <c r="B456" s="6" t="s">
        <v>237</v>
      </c>
      <c r="C456" s="6" t="s">
        <v>678</v>
      </c>
      <c r="D456" s="6" t="s">
        <v>190</v>
      </c>
      <c r="E456" s="9">
        <v>4448.500227187843</v>
      </c>
      <c r="F456" s="18">
        <v>6183415.315791102</v>
      </c>
      <c r="G456" s="6" t="s">
        <v>129</v>
      </c>
    </row>
    <row r="457" spans="1:7" x14ac:dyDescent="0.25">
      <c r="A457" s="6" t="s">
        <v>19</v>
      </c>
      <c r="B457" s="6" t="s">
        <v>242</v>
      </c>
      <c r="C457" s="6" t="s">
        <v>679</v>
      </c>
      <c r="D457" s="6" t="s">
        <v>190</v>
      </c>
      <c r="E457" s="9">
        <v>4448.500227187843</v>
      </c>
      <c r="F457" s="18">
        <v>6183415.315791102</v>
      </c>
      <c r="G457" s="6" t="s">
        <v>134</v>
      </c>
    </row>
    <row r="458" spans="1:7" x14ac:dyDescent="0.25">
      <c r="A458" s="6" t="s">
        <v>19</v>
      </c>
      <c r="B458" s="6" t="s">
        <v>242</v>
      </c>
      <c r="C458" s="6" t="s">
        <v>680</v>
      </c>
      <c r="D458" s="6" t="s">
        <v>190</v>
      </c>
      <c r="E458" s="9">
        <v>4448.500227187843</v>
      </c>
      <c r="F458" s="18">
        <v>6183415.315791102</v>
      </c>
      <c r="G458" s="6" t="s">
        <v>136</v>
      </c>
    </row>
    <row r="459" spans="1:7" x14ac:dyDescent="0.25">
      <c r="A459" s="6" t="s">
        <v>19</v>
      </c>
      <c r="B459" s="6" t="s">
        <v>242</v>
      </c>
      <c r="C459" s="6" t="s">
        <v>681</v>
      </c>
      <c r="D459" s="6" t="s">
        <v>190</v>
      </c>
      <c r="E459" s="9">
        <v>4448.500227187843</v>
      </c>
      <c r="F459" s="18">
        <v>6183415.315791102</v>
      </c>
      <c r="G459" s="6" t="s">
        <v>136</v>
      </c>
    </row>
    <row r="460" spans="1:7" x14ac:dyDescent="0.25">
      <c r="A460" s="6" t="s">
        <v>19</v>
      </c>
      <c r="B460" s="6" t="s">
        <v>242</v>
      </c>
      <c r="C460" s="6" t="s">
        <v>682</v>
      </c>
      <c r="D460" s="6" t="s">
        <v>190</v>
      </c>
      <c r="E460" s="9">
        <v>4448.500227187843</v>
      </c>
      <c r="F460" s="18">
        <v>6183415.315791102</v>
      </c>
      <c r="G460" s="6" t="s">
        <v>129</v>
      </c>
    </row>
    <row r="461" spans="1:7" x14ac:dyDescent="0.25">
      <c r="A461" s="6" t="s">
        <v>19</v>
      </c>
      <c r="B461" s="6" t="s">
        <v>247</v>
      </c>
      <c r="C461" s="6" t="s">
        <v>683</v>
      </c>
      <c r="D461" s="6" t="s">
        <v>190</v>
      </c>
      <c r="E461" s="9">
        <v>4448.500227187843</v>
      </c>
      <c r="F461" s="18">
        <v>6183415.315791102</v>
      </c>
      <c r="G461" s="6" t="s">
        <v>136</v>
      </c>
    </row>
    <row r="462" spans="1:7" x14ac:dyDescent="0.25">
      <c r="A462" s="6" t="s">
        <v>19</v>
      </c>
      <c r="B462" s="6" t="s">
        <v>247</v>
      </c>
      <c r="C462" s="6" t="s">
        <v>684</v>
      </c>
      <c r="D462" s="6" t="s">
        <v>190</v>
      </c>
      <c r="E462" s="9">
        <v>4448.500227187843</v>
      </c>
      <c r="F462" s="18">
        <v>6183415.315791102</v>
      </c>
      <c r="G462" s="6" t="s">
        <v>136</v>
      </c>
    </row>
    <row r="463" spans="1:7" x14ac:dyDescent="0.25">
      <c r="A463" s="6" t="s">
        <v>19</v>
      </c>
      <c r="B463" s="6" t="s">
        <v>247</v>
      </c>
      <c r="C463" s="6" t="s">
        <v>685</v>
      </c>
      <c r="D463" s="6" t="s">
        <v>190</v>
      </c>
      <c r="E463" s="9">
        <v>4448.500227187843</v>
      </c>
      <c r="F463" s="18">
        <v>6183415.315791102</v>
      </c>
      <c r="G463" s="6" t="s">
        <v>134</v>
      </c>
    </row>
    <row r="464" spans="1:7" x14ac:dyDescent="0.25">
      <c r="A464" s="6" t="s">
        <v>19</v>
      </c>
      <c r="B464" s="6" t="s">
        <v>247</v>
      </c>
      <c r="C464" s="6" t="s">
        <v>686</v>
      </c>
      <c r="D464" s="6" t="s">
        <v>190</v>
      </c>
      <c r="E464" s="9">
        <v>4448.500227187843</v>
      </c>
      <c r="F464" s="18">
        <v>6183415.315791102</v>
      </c>
      <c r="G464" s="6" t="s">
        <v>129</v>
      </c>
    </row>
    <row r="465" spans="1:7" x14ac:dyDescent="0.25">
      <c r="A465" s="6" t="s">
        <v>19</v>
      </c>
      <c r="B465" s="6" t="s">
        <v>252</v>
      </c>
      <c r="C465" s="6" t="s">
        <v>687</v>
      </c>
      <c r="D465" s="6" t="s">
        <v>190</v>
      </c>
      <c r="E465" s="9">
        <v>4448.500227187843</v>
      </c>
      <c r="F465" s="18">
        <v>6183415.315791102</v>
      </c>
      <c r="G465" s="6" t="s">
        <v>136</v>
      </c>
    </row>
    <row r="466" spans="1:7" x14ac:dyDescent="0.25">
      <c r="A466" s="6" t="s">
        <v>19</v>
      </c>
      <c r="B466" s="6" t="s">
        <v>252</v>
      </c>
      <c r="C466" s="6" t="s">
        <v>688</v>
      </c>
      <c r="D466" s="6" t="s">
        <v>190</v>
      </c>
      <c r="E466" s="9">
        <v>4448.500227187843</v>
      </c>
      <c r="F466" s="18">
        <v>6183415.315791102</v>
      </c>
      <c r="G466" s="6" t="s">
        <v>134</v>
      </c>
    </row>
    <row r="467" spans="1:7" x14ac:dyDescent="0.25">
      <c r="A467" s="6" t="s">
        <v>19</v>
      </c>
      <c r="B467" s="6" t="s">
        <v>252</v>
      </c>
      <c r="C467" s="6" t="s">
        <v>689</v>
      </c>
      <c r="D467" s="6" t="s">
        <v>190</v>
      </c>
      <c r="E467" s="9">
        <v>4448.500227187843</v>
      </c>
      <c r="F467" s="18">
        <v>6183415.315791102</v>
      </c>
      <c r="G467" s="6" t="s">
        <v>129</v>
      </c>
    </row>
    <row r="468" spans="1:7" x14ac:dyDescent="0.25">
      <c r="A468" s="6" t="s">
        <v>19</v>
      </c>
      <c r="B468" s="6" t="s">
        <v>252</v>
      </c>
      <c r="C468" s="6" t="s">
        <v>690</v>
      </c>
      <c r="D468" s="6" t="s">
        <v>190</v>
      </c>
      <c r="E468" s="9">
        <v>4448.500227187843</v>
      </c>
      <c r="F468" s="18">
        <v>6183415.315791102</v>
      </c>
      <c r="G468" s="6" t="s">
        <v>136</v>
      </c>
    </row>
    <row r="469" spans="1:7" x14ac:dyDescent="0.25">
      <c r="A469" s="6" t="s">
        <v>19</v>
      </c>
      <c r="B469" s="6" t="s">
        <v>257</v>
      </c>
      <c r="C469" s="6" t="s">
        <v>691</v>
      </c>
      <c r="D469" s="6" t="s">
        <v>190</v>
      </c>
      <c r="E469" s="9">
        <v>4448.500227187843</v>
      </c>
      <c r="F469" s="18">
        <v>6183415.315791102</v>
      </c>
      <c r="G469" s="6" t="s">
        <v>129</v>
      </c>
    </row>
    <row r="470" spans="1:7" x14ac:dyDescent="0.25">
      <c r="A470" s="6" t="s">
        <v>19</v>
      </c>
      <c r="B470" s="6" t="s">
        <v>257</v>
      </c>
      <c r="C470" s="6" t="s">
        <v>692</v>
      </c>
      <c r="D470" s="6" t="s">
        <v>190</v>
      </c>
      <c r="E470" s="9">
        <v>4448.500227187843</v>
      </c>
      <c r="F470" s="18">
        <v>6183415.315791102</v>
      </c>
      <c r="G470" s="6" t="s">
        <v>134</v>
      </c>
    </row>
    <row r="471" spans="1:7" x14ac:dyDescent="0.25">
      <c r="A471" s="6" t="s">
        <v>19</v>
      </c>
      <c r="B471" s="6" t="s">
        <v>257</v>
      </c>
      <c r="C471" s="6" t="s">
        <v>693</v>
      </c>
      <c r="D471" s="6" t="s">
        <v>190</v>
      </c>
      <c r="E471" s="9">
        <v>4448.500227187843</v>
      </c>
      <c r="F471" s="18">
        <v>6183415.315791102</v>
      </c>
      <c r="G471" s="6" t="s">
        <v>136</v>
      </c>
    </row>
    <row r="472" spans="1:7" x14ac:dyDescent="0.25">
      <c r="A472" s="6" t="s">
        <v>19</v>
      </c>
      <c r="B472" s="6" t="s">
        <v>257</v>
      </c>
      <c r="C472" s="6" t="s">
        <v>694</v>
      </c>
      <c r="D472" s="6" t="s">
        <v>190</v>
      </c>
      <c r="E472" s="9">
        <v>4448.500227187843</v>
      </c>
      <c r="F472" s="18">
        <v>6183415.315791102</v>
      </c>
      <c r="G472" s="6" t="s">
        <v>136</v>
      </c>
    </row>
    <row r="473" spans="1:7" x14ac:dyDescent="0.25">
      <c r="A473" s="6" t="s">
        <v>19</v>
      </c>
      <c r="B473" s="6" t="s">
        <v>130</v>
      </c>
      <c r="C473" s="6" t="s">
        <v>695</v>
      </c>
      <c r="D473" s="6" t="s">
        <v>190</v>
      </c>
      <c r="E473" s="9">
        <v>4448.500227187843</v>
      </c>
      <c r="F473" s="18">
        <v>6183415.315791102</v>
      </c>
      <c r="G473" s="6" t="s">
        <v>136</v>
      </c>
    </row>
    <row r="474" spans="1:7" x14ac:dyDescent="0.25">
      <c r="A474" s="6" t="s">
        <v>19</v>
      </c>
      <c r="B474" s="6" t="s">
        <v>130</v>
      </c>
      <c r="C474" s="6" t="s">
        <v>696</v>
      </c>
      <c r="D474" s="6" t="s">
        <v>190</v>
      </c>
      <c r="E474" s="9">
        <v>4448.500227187843</v>
      </c>
      <c r="F474" s="18">
        <v>6183415.315791102</v>
      </c>
      <c r="G474" s="6" t="s">
        <v>129</v>
      </c>
    </row>
    <row r="475" spans="1:7" x14ac:dyDescent="0.25">
      <c r="A475" s="6" t="s">
        <v>19</v>
      </c>
      <c r="B475" s="6" t="s">
        <v>130</v>
      </c>
      <c r="C475" s="6" t="s">
        <v>697</v>
      </c>
      <c r="D475" s="6" t="s">
        <v>190</v>
      </c>
      <c r="E475" s="9">
        <v>4448.500227187843</v>
      </c>
      <c r="F475" s="18">
        <v>6183415.315791102</v>
      </c>
      <c r="G475" s="6" t="s">
        <v>129</v>
      </c>
    </row>
    <row r="476" spans="1:7" x14ac:dyDescent="0.25">
      <c r="A476" s="6" t="s">
        <v>19</v>
      </c>
      <c r="B476" s="6" t="s">
        <v>130</v>
      </c>
      <c r="C476" s="6" t="s">
        <v>698</v>
      </c>
      <c r="D476" s="6" t="s">
        <v>190</v>
      </c>
      <c r="E476" s="9">
        <v>4448.500227187843</v>
      </c>
      <c r="F476" s="18">
        <v>6183415.315791102</v>
      </c>
      <c r="G476" s="6" t="s">
        <v>136</v>
      </c>
    </row>
    <row r="477" spans="1:7" x14ac:dyDescent="0.25">
      <c r="A477" s="6" t="s">
        <v>19</v>
      </c>
      <c r="B477" s="6" t="s">
        <v>138</v>
      </c>
      <c r="C477" s="6" t="s">
        <v>699</v>
      </c>
      <c r="D477" s="6" t="s">
        <v>190</v>
      </c>
      <c r="E477" s="9">
        <v>4448.500227187843</v>
      </c>
      <c r="F477" s="18">
        <v>6183415.315791102</v>
      </c>
      <c r="G477" s="6" t="s">
        <v>129</v>
      </c>
    </row>
    <row r="478" spans="1:7" x14ac:dyDescent="0.25">
      <c r="A478" s="6" t="s">
        <v>19</v>
      </c>
      <c r="B478" s="6" t="s">
        <v>138</v>
      </c>
      <c r="C478" s="6" t="s">
        <v>700</v>
      </c>
      <c r="D478" s="6" t="s">
        <v>190</v>
      </c>
      <c r="E478" s="9">
        <v>4448.500227187843</v>
      </c>
      <c r="F478" s="18">
        <v>6183415.315791102</v>
      </c>
      <c r="G478" s="6" t="s">
        <v>134</v>
      </c>
    </row>
    <row r="479" spans="1:7" x14ac:dyDescent="0.25">
      <c r="A479" s="6" t="s">
        <v>19</v>
      </c>
      <c r="B479" s="6" t="s">
        <v>138</v>
      </c>
      <c r="C479" s="6" t="s">
        <v>701</v>
      </c>
      <c r="D479" s="6" t="s">
        <v>190</v>
      </c>
      <c r="E479" s="9">
        <v>4448.500227187843</v>
      </c>
      <c r="F479" s="18">
        <v>6183415.315791102</v>
      </c>
      <c r="G479" s="6" t="s">
        <v>136</v>
      </c>
    </row>
    <row r="480" spans="1:7" x14ac:dyDescent="0.25">
      <c r="A480" s="6" t="s">
        <v>19</v>
      </c>
      <c r="B480" s="6" t="s">
        <v>138</v>
      </c>
      <c r="C480" s="6" t="s">
        <v>702</v>
      </c>
      <c r="D480" s="6" t="s">
        <v>190</v>
      </c>
      <c r="E480" s="9">
        <v>4448.500227187843</v>
      </c>
      <c r="F480" s="18">
        <v>6183415.315791102</v>
      </c>
      <c r="G480" s="6" t="s">
        <v>129</v>
      </c>
    </row>
    <row r="481" spans="1:7" x14ac:dyDescent="0.25">
      <c r="A481" s="6" t="s">
        <v>19</v>
      </c>
      <c r="B481" s="6" t="s">
        <v>143</v>
      </c>
      <c r="C481" s="6" t="s">
        <v>703</v>
      </c>
      <c r="D481" s="6" t="s">
        <v>190</v>
      </c>
      <c r="E481" s="9">
        <v>4448.500227187843</v>
      </c>
      <c r="F481" s="18">
        <v>6183415.315791102</v>
      </c>
      <c r="G481" s="6" t="s">
        <v>129</v>
      </c>
    </row>
    <row r="482" spans="1:7" x14ac:dyDescent="0.25">
      <c r="A482" s="6" t="s">
        <v>19</v>
      </c>
      <c r="B482" s="6" t="s">
        <v>143</v>
      </c>
      <c r="C482" s="6" t="s">
        <v>704</v>
      </c>
      <c r="D482" s="6" t="s">
        <v>190</v>
      </c>
      <c r="E482" s="9">
        <v>4448.500227187843</v>
      </c>
      <c r="F482" s="18">
        <v>6183415.315791102</v>
      </c>
      <c r="G482" s="6" t="s">
        <v>136</v>
      </c>
    </row>
    <row r="483" spans="1:7" x14ac:dyDescent="0.25">
      <c r="A483" s="6" t="s">
        <v>19</v>
      </c>
      <c r="B483" s="6" t="s">
        <v>143</v>
      </c>
      <c r="C483" s="6" t="s">
        <v>705</v>
      </c>
      <c r="D483" s="6" t="s">
        <v>190</v>
      </c>
      <c r="E483" s="9">
        <v>4448.500227187843</v>
      </c>
      <c r="F483" s="18">
        <v>6183415.315791102</v>
      </c>
      <c r="G483" s="6" t="s">
        <v>134</v>
      </c>
    </row>
    <row r="484" spans="1:7" x14ac:dyDescent="0.25">
      <c r="A484" s="6" t="s">
        <v>19</v>
      </c>
      <c r="B484" s="6" t="s">
        <v>143</v>
      </c>
      <c r="C484" s="6" t="s">
        <v>706</v>
      </c>
      <c r="D484" s="6" t="s">
        <v>190</v>
      </c>
      <c r="E484" s="9">
        <v>4448.500227187843</v>
      </c>
      <c r="F484" s="18">
        <v>6183415.315791102</v>
      </c>
      <c r="G484" s="6" t="s">
        <v>129</v>
      </c>
    </row>
    <row r="485" spans="1:7" x14ac:dyDescent="0.25">
      <c r="A485" s="6" t="s">
        <v>19</v>
      </c>
      <c r="B485" s="6" t="s">
        <v>148</v>
      </c>
      <c r="C485" s="6" t="s">
        <v>707</v>
      </c>
      <c r="D485" s="6" t="s">
        <v>190</v>
      </c>
      <c r="E485" s="9">
        <v>4448.500227187843</v>
      </c>
      <c r="F485" s="18">
        <v>6183415.315791102</v>
      </c>
      <c r="G485" s="6" t="s">
        <v>129</v>
      </c>
    </row>
    <row r="486" spans="1:7" x14ac:dyDescent="0.25">
      <c r="A486" s="6" t="s">
        <v>19</v>
      </c>
      <c r="B486" s="6" t="s">
        <v>148</v>
      </c>
      <c r="C486" s="6" t="s">
        <v>708</v>
      </c>
      <c r="D486" s="6" t="s">
        <v>190</v>
      </c>
      <c r="E486" s="9">
        <v>4448.500227187843</v>
      </c>
      <c r="F486" s="18">
        <v>6183415.315791102</v>
      </c>
      <c r="G486" s="6" t="s">
        <v>136</v>
      </c>
    </row>
    <row r="487" spans="1:7" x14ac:dyDescent="0.25">
      <c r="A487" s="6" t="s">
        <v>19</v>
      </c>
      <c r="B487" s="6" t="s">
        <v>148</v>
      </c>
      <c r="C487" s="6" t="s">
        <v>709</v>
      </c>
      <c r="D487" s="6" t="s">
        <v>190</v>
      </c>
      <c r="E487" s="9">
        <v>4448.500227187843</v>
      </c>
      <c r="F487" s="18">
        <v>6183415.315791102</v>
      </c>
      <c r="G487" s="6" t="s">
        <v>136</v>
      </c>
    </row>
    <row r="488" spans="1:7" x14ac:dyDescent="0.25">
      <c r="A488" s="6" t="s">
        <v>19</v>
      </c>
      <c r="B488" s="6" t="s">
        <v>148</v>
      </c>
      <c r="C488" s="6" t="s">
        <v>710</v>
      </c>
      <c r="D488" s="6" t="s">
        <v>190</v>
      </c>
      <c r="E488" s="9">
        <v>4448.500227187843</v>
      </c>
      <c r="F488" s="18">
        <v>6183415.315791102</v>
      </c>
      <c r="G488" s="6" t="s">
        <v>129</v>
      </c>
    </row>
    <row r="489" spans="1:7" x14ac:dyDescent="0.25">
      <c r="A489" s="6" t="s">
        <v>19</v>
      </c>
      <c r="B489" s="6" t="s">
        <v>153</v>
      </c>
      <c r="C489" s="6" t="s">
        <v>711</v>
      </c>
      <c r="D489" s="6" t="s">
        <v>190</v>
      </c>
      <c r="E489" s="9">
        <v>4448.500227187843</v>
      </c>
      <c r="F489" s="18">
        <v>6183415.315791102</v>
      </c>
      <c r="G489" s="6" t="s">
        <v>136</v>
      </c>
    </row>
    <row r="490" spans="1:7" x14ac:dyDescent="0.25">
      <c r="A490" s="6" t="s">
        <v>19</v>
      </c>
      <c r="B490" s="6" t="s">
        <v>153</v>
      </c>
      <c r="C490" s="6" t="s">
        <v>712</v>
      </c>
      <c r="D490" s="6" t="s">
        <v>190</v>
      </c>
      <c r="E490" s="9">
        <v>4448.500227187843</v>
      </c>
      <c r="F490" s="18">
        <v>6183415.315791102</v>
      </c>
      <c r="G490" s="6" t="s">
        <v>129</v>
      </c>
    </row>
    <row r="491" spans="1:7" x14ac:dyDescent="0.25">
      <c r="A491" s="6" t="s">
        <v>19</v>
      </c>
      <c r="B491" s="6" t="s">
        <v>153</v>
      </c>
      <c r="C491" s="6" t="s">
        <v>713</v>
      </c>
      <c r="D491" s="6" t="s">
        <v>190</v>
      </c>
      <c r="E491" s="9">
        <v>4448.500227187843</v>
      </c>
      <c r="F491" s="18">
        <v>6183415.315791102</v>
      </c>
      <c r="G491" s="6" t="s">
        <v>129</v>
      </c>
    </row>
    <row r="492" spans="1:7" x14ac:dyDescent="0.25">
      <c r="A492" s="6" t="s">
        <v>19</v>
      </c>
      <c r="B492" s="6" t="s">
        <v>153</v>
      </c>
      <c r="C492" s="6" t="s">
        <v>714</v>
      </c>
      <c r="D492" s="6" t="s">
        <v>190</v>
      </c>
      <c r="E492" s="9">
        <v>4448.500227187843</v>
      </c>
      <c r="F492" s="18">
        <v>6183415.315791102</v>
      </c>
      <c r="G492" s="6" t="s">
        <v>136</v>
      </c>
    </row>
    <row r="493" spans="1:7" x14ac:dyDescent="0.25">
      <c r="A493" s="6" t="s">
        <v>19</v>
      </c>
      <c r="B493" s="6" t="s">
        <v>158</v>
      </c>
      <c r="C493" s="6" t="s">
        <v>715</v>
      </c>
      <c r="D493" s="6" t="s">
        <v>190</v>
      </c>
      <c r="E493" s="9">
        <v>4448.500227187843</v>
      </c>
      <c r="F493" s="18">
        <v>6183415.315791102</v>
      </c>
      <c r="G493" s="6" t="s">
        <v>136</v>
      </c>
    </row>
    <row r="494" spans="1:7" x14ac:dyDescent="0.25">
      <c r="A494" s="6" t="s">
        <v>19</v>
      </c>
      <c r="B494" s="6" t="s">
        <v>158</v>
      </c>
      <c r="C494" s="6" t="s">
        <v>716</v>
      </c>
      <c r="D494" s="6" t="s">
        <v>190</v>
      </c>
      <c r="E494" s="9">
        <v>4448.500227187843</v>
      </c>
      <c r="F494" s="18">
        <v>6183415.315791102</v>
      </c>
      <c r="G494" s="6" t="s">
        <v>129</v>
      </c>
    </row>
    <row r="495" spans="1:7" x14ac:dyDescent="0.25">
      <c r="A495" s="6" t="s">
        <v>19</v>
      </c>
      <c r="B495" s="6" t="s">
        <v>158</v>
      </c>
      <c r="C495" s="6" t="s">
        <v>717</v>
      </c>
      <c r="D495" s="6" t="s">
        <v>190</v>
      </c>
      <c r="E495" s="9">
        <v>4448.500227187843</v>
      </c>
      <c r="F495" s="18">
        <v>6183415.315791102</v>
      </c>
      <c r="G495" s="6" t="s">
        <v>129</v>
      </c>
    </row>
    <row r="496" spans="1:7" x14ac:dyDescent="0.25">
      <c r="A496" s="6" t="s">
        <v>19</v>
      </c>
      <c r="B496" s="6" t="s">
        <v>158</v>
      </c>
      <c r="C496" s="6" t="s">
        <v>718</v>
      </c>
      <c r="D496" s="6" t="s">
        <v>190</v>
      </c>
      <c r="E496" s="9">
        <v>4448.500227187843</v>
      </c>
      <c r="F496" s="18">
        <v>6183415.315791102</v>
      </c>
      <c r="G496" s="6" t="s">
        <v>136</v>
      </c>
    </row>
    <row r="497" spans="1:7" x14ac:dyDescent="0.25">
      <c r="A497" s="6" t="s">
        <v>19</v>
      </c>
      <c r="B497" s="6" t="s">
        <v>163</v>
      </c>
      <c r="C497" s="6" t="s">
        <v>719</v>
      </c>
      <c r="D497" s="6" t="s">
        <v>190</v>
      </c>
      <c r="E497" s="9">
        <v>4448.500227187843</v>
      </c>
      <c r="F497" s="18">
        <v>6183415.315791102</v>
      </c>
      <c r="G497" s="6" t="s">
        <v>136</v>
      </c>
    </row>
    <row r="498" spans="1:7" x14ac:dyDescent="0.25">
      <c r="A498" s="6" t="s">
        <v>19</v>
      </c>
      <c r="B498" s="6" t="s">
        <v>163</v>
      </c>
      <c r="C498" s="6" t="s">
        <v>720</v>
      </c>
      <c r="D498" s="6" t="s">
        <v>190</v>
      </c>
      <c r="E498" s="9">
        <v>4448.500227187843</v>
      </c>
      <c r="F498" s="18">
        <v>6183415.315791102</v>
      </c>
      <c r="G498" s="6" t="s">
        <v>136</v>
      </c>
    </row>
    <row r="499" spans="1:7" x14ac:dyDescent="0.25">
      <c r="A499" s="6" t="s">
        <v>19</v>
      </c>
      <c r="B499" s="6" t="s">
        <v>163</v>
      </c>
      <c r="C499" s="6" t="s">
        <v>721</v>
      </c>
      <c r="D499" s="6" t="s">
        <v>190</v>
      </c>
      <c r="E499" s="9">
        <v>4448.500227187843</v>
      </c>
      <c r="F499" s="18">
        <v>6183415.315791102</v>
      </c>
      <c r="G499" s="6" t="s">
        <v>129</v>
      </c>
    </row>
    <row r="500" spans="1:7" x14ac:dyDescent="0.25">
      <c r="A500" s="6" t="s">
        <v>19</v>
      </c>
      <c r="B500" s="6" t="s">
        <v>163</v>
      </c>
      <c r="C500" s="6" t="s">
        <v>722</v>
      </c>
      <c r="D500" s="6" t="s">
        <v>190</v>
      </c>
      <c r="E500" s="9">
        <v>4448.500227187843</v>
      </c>
      <c r="F500" s="18">
        <v>6183415.315791102</v>
      </c>
      <c r="G500" s="6" t="s">
        <v>129</v>
      </c>
    </row>
    <row r="501" spans="1:7" x14ac:dyDescent="0.25">
      <c r="A501" s="6" t="s">
        <v>19</v>
      </c>
      <c r="B501" s="6" t="s">
        <v>168</v>
      </c>
      <c r="C501" s="6" t="s">
        <v>723</v>
      </c>
      <c r="D501" s="6" t="s">
        <v>190</v>
      </c>
      <c r="E501" s="9">
        <v>4448.500227187843</v>
      </c>
      <c r="F501" s="18">
        <v>6183415.315791102</v>
      </c>
      <c r="G501" s="6" t="s">
        <v>129</v>
      </c>
    </row>
    <row r="502" spans="1:7" x14ac:dyDescent="0.25">
      <c r="A502" s="6" t="s">
        <v>19</v>
      </c>
      <c r="B502" s="6" t="s">
        <v>168</v>
      </c>
      <c r="C502" s="6" t="s">
        <v>724</v>
      </c>
      <c r="D502" s="6" t="s">
        <v>190</v>
      </c>
      <c r="E502" s="9">
        <v>4448.500227187843</v>
      </c>
      <c r="F502" s="18">
        <v>6183415.315791102</v>
      </c>
      <c r="G502" s="6" t="s">
        <v>136</v>
      </c>
    </row>
    <row r="503" spans="1:7" x14ac:dyDescent="0.25">
      <c r="A503" s="6" t="s">
        <v>19</v>
      </c>
      <c r="B503" s="6" t="s">
        <v>168</v>
      </c>
      <c r="C503" s="6" t="s">
        <v>725</v>
      </c>
      <c r="D503" s="6" t="s">
        <v>190</v>
      </c>
      <c r="E503" s="9">
        <v>4448.500227187843</v>
      </c>
      <c r="F503" s="18">
        <v>6183415.315791102</v>
      </c>
      <c r="G503" s="6" t="s">
        <v>136</v>
      </c>
    </row>
    <row r="504" spans="1:7" x14ac:dyDescent="0.25">
      <c r="A504" s="6" t="s">
        <v>19</v>
      </c>
      <c r="B504" s="6" t="s">
        <v>168</v>
      </c>
      <c r="C504" s="6" t="s">
        <v>726</v>
      </c>
      <c r="D504" s="6" t="s">
        <v>190</v>
      </c>
      <c r="E504" s="9">
        <v>4448.500227187843</v>
      </c>
      <c r="F504" s="18">
        <v>6183415.315791102</v>
      </c>
      <c r="G504" s="6" t="s">
        <v>129</v>
      </c>
    </row>
    <row r="505" spans="1:7" x14ac:dyDescent="0.25">
      <c r="A505" s="6" t="s">
        <v>19</v>
      </c>
      <c r="B505" s="6" t="s">
        <v>173</v>
      </c>
      <c r="C505" s="6" t="s">
        <v>727</v>
      </c>
      <c r="D505" s="6" t="s">
        <v>190</v>
      </c>
      <c r="E505" s="9">
        <v>4448.500227187843</v>
      </c>
      <c r="F505" s="18">
        <v>6183415.315791102</v>
      </c>
      <c r="G505" s="6" t="s">
        <v>129</v>
      </c>
    </row>
    <row r="506" spans="1:7" x14ac:dyDescent="0.25">
      <c r="A506" s="6" t="s">
        <v>19</v>
      </c>
      <c r="B506" s="6" t="s">
        <v>173</v>
      </c>
      <c r="C506" s="6" t="s">
        <v>728</v>
      </c>
      <c r="D506" s="6" t="s">
        <v>190</v>
      </c>
      <c r="E506" s="9">
        <v>4448.500227187843</v>
      </c>
      <c r="F506" s="18">
        <v>6183415.315791102</v>
      </c>
      <c r="G506" s="6" t="s">
        <v>136</v>
      </c>
    </row>
    <row r="507" spans="1:7" x14ac:dyDescent="0.25">
      <c r="A507" s="6" t="s">
        <v>19</v>
      </c>
      <c r="B507" s="6" t="s">
        <v>173</v>
      </c>
      <c r="C507" s="6" t="s">
        <v>729</v>
      </c>
      <c r="D507" s="6" t="s">
        <v>190</v>
      </c>
      <c r="E507" s="9">
        <v>4448.500227187843</v>
      </c>
      <c r="F507" s="18">
        <v>6183415.315791102</v>
      </c>
      <c r="G507" s="6" t="s">
        <v>136</v>
      </c>
    </row>
    <row r="508" spans="1:7" x14ac:dyDescent="0.25">
      <c r="A508" s="6" t="s">
        <v>19</v>
      </c>
      <c r="B508" s="6" t="s">
        <v>173</v>
      </c>
      <c r="C508" s="6" t="s">
        <v>730</v>
      </c>
      <c r="D508" s="6" t="s">
        <v>190</v>
      </c>
      <c r="E508" s="9">
        <v>4448.500227187843</v>
      </c>
      <c r="F508" s="18">
        <v>6183415.315791102</v>
      </c>
      <c r="G508" s="6" t="s">
        <v>129</v>
      </c>
    </row>
    <row r="509" spans="1:7" x14ac:dyDescent="0.25">
      <c r="A509" s="6" t="s">
        <v>19</v>
      </c>
      <c r="B509" s="6" t="s">
        <v>178</v>
      </c>
      <c r="C509" s="6" t="s">
        <v>731</v>
      </c>
      <c r="D509" s="6" t="s">
        <v>190</v>
      </c>
      <c r="E509" s="9">
        <v>4448.500227187843</v>
      </c>
      <c r="F509" s="18">
        <v>6183415.315791102</v>
      </c>
      <c r="G509" s="6" t="s">
        <v>129</v>
      </c>
    </row>
    <row r="510" spans="1:7" x14ac:dyDescent="0.25">
      <c r="A510" s="6" t="s">
        <v>19</v>
      </c>
      <c r="B510" s="6" t="s">
        <v>178</v>
      </c>
      <c r="C510" s="6" t="s">
        <v>732</v>
      </c>
      <c r="D510" s="6" t="s">
        <v>190</v>
      </c>
      <c r="E510" s="9">
        <v>4448.500227187843</v>
      </c>
      <c r="F510" s="18">
        <v>6183415.315791102</v>
      </c>
      <c r="G510" s="6" t="s">
        <v>136</v>
      </c>
    </row>
    <row r="511" spans="1:7" x14ac:dyDescent="0.25">
      <c r="A511" s="6" t="s">
        <v>19</v>
      </c>
      <c r="B511" s="6" t="s">
        <v>178</v>
      </c>
      <c r="C511" s="6" t="s">
        <v>733</v>
      </c>
      <c r="D511" s="6" t="s">
        <v>190</v>
      </c>
      <c r="E511" s="9">
        <v>4448.500227187843</v>
      </c>
      <c r="F511" s="18">
        <v>6183415.315791102</v>
      </c>
      <c r="G511" s="6" t="s">
        <v>136</v>
      </c>
    </row>
    <row r="512" spans="1:7" x14ac:dyDescent="0.25">
      <c r="A512" s="6" t="s">
        <v>19</v>
      </c>
      <c r="B512" s="6" t="s">
        <v>178</v>
      </c>
      <c r="C512" s="6" t="s">
        <v>734</v>
      </c>
      <c r="D512" s="6" t="s">
        <v>190</v>
      </c>
      <c r="E512" s="9">
        <v>4448.500227187843</v>
      </c>
      <c r="F512" s="18">
        <v>6183415.315791102</v>
      </c>
      <c r="G512" s="6" t="s">
        <v>129</v>
      </c>
    </row>
    <row r="513" spans="1:7" x14ac:dyDescent="0.25">
      <c r="A513" s="6" t="s">
        <v>19</v>
      </c>
      <c r="B513" s="6" t="s">
        <v>183</v>
      </c>
      <c r="C513" s="6" t="s">
        <v>735</v>
      </c>
      <c r="D513" s="6" t="s">
        <v>190</v>
      </c>
      <c r="E513" s="9">
        <v>4448.500227187843</v>
      </c>
      <c r="F513" s="18">
        <v>6183415.315791102</v>
      </c>
      <c r="G513" s="6" t="s">
        <v>136</v>
      </c>
    </row>
    <row r="514" spans="1:7" x14ac:dyDescent="0.25">
      <c r="A514" s="6" t="s">
        <v>19</v>
      </c>
      <c r="B514" s="6" t="s">
        <v>183</v>
      </c>
      <c r="C514" s="6" t="s">
        <v>736</v>
      </c>
      <c r="D514" s="6" t="s">
        <v>190</v>
      </c>
      <c r="E514" s="9">
        <v>4448.500227187843</v>
      </c>
      <c r="F514" s="18">
        <v>6183415.315791102</v>
      </c>
      <c r="G514" s="6" t="s">
        <v>129</v>
      </c>
    </row>
    <row r="515" spans="1:7" x14ac:dyDescent="0.25">
      <c r="A515" s="6" t="s">
        <v>19</v>
      </c>
      <c r="B515" s="6" t="s">
        <v>183</v>
      </c>
      <c r="C515" s="6" t="s">
        <v>737</v>
      </c>
      <c r="D515" s="6" t="s">
        <v>190</v>
      </c>
      <c r="E515" s="9">
        <v>4448.500227187843</v>
      </c>
      <c r="F515" s="18">
        <v>6183415.315791102</v>
      </c>
      <c r="G515" s="6" t="s">
        <v>129</v>
      </c>
    </row>
    <row r="516" spans="1:7" x14ac:dyDescent="0.25">
      <c r="A516" s="6" t="s">
        <v>19</v>
      </c>
      <c r="B516" s="6" t="s">
        <v>183</v>
      </c>
      <c r="C516" s="6" t="s">
        <v>738</v>
      </c>
      <c r="D516" s="6" t="s">
        <v>190</v>
      </c>
      <c r="E516" s="9">
        <v>4448.500227187843</v>
      </c>
      <c r="F516" s="18">
        <v>6183415.315791102</v>
      </c>
      <c r="G516" s="6" t="s">
        <v>134</v>
      </c>
    </row>
    <row r="517" spans="1:7" x14ac:dyDescent="0.25">
      <c r="A517" s="6" t="s">
        <v>19</v>
      </c>
      <c r="B517" s="6" t="s">
        <v>188</v>
      </c>
      <c r="C517" s="6" t="s">
        <v>739</v>
      </c>
      <c r="D517" s="6" t="s">
        <v>190</v>
      </c>
      <c r="E517" s="9">
        <v>4448.500227187843</v>
      </c>
      <c r="F517" s="18">
        <v>6183415.315791102</v>
      </c>
      <c r="G517" s="6" t="s">
        <v>136</v>
      </c>
    </row>
    <row r="518" spans="1:7" x14ac:dyDescent="0.25">
      <c r="A518" s="6" t="s">
        <v>19</v>
      </c>
      <c r="B518" s="6" t="s">
        <v>188</v>
      </c>
      <c r="C518" s="6" t="s">
        <v>740</v>
      </c>
      <c r="D518" s="6" t="s">
        <v>190</v>
      </c>
      <c r="E518" s="9">
        <v>4448.500227187843</v>
      </c>
      <c r="F518" s="18">
        <v>6183415.315791102</v>
      </c>
      <c r="G518" s="6" t="s">
        <v>136</v>
      </c>
    </row>
    <row r="519" spans="1:7" x14ac:dyDescent="0.25">
      <c r="A519" s="6" t="s">
        <v>19</v>
      </c>
      <c r="B519" s="6" t="s">
        <v>188</v>
      </c>
      <c r="C519" s="6" t="s">
        <v>741</v>
      </c>
      <c r="D519" s="6" t="s">
        <v>190</v>
      </c>
      <c r="E519" s="9">
        <v>4448.500227187843</v>
      </c>
      <c r="F519" s="18">
        <v>6183415.315791102</v>
      </c>
      <c r="G519" s="6" t="s">
        <v>129</v>
      </c>
    </row>
    <row r="520" spans="1:7" x14ac:dyDescent="0.25">
      <c r="A520" s="6" t="s">
        <v>19</v>
      </c>
      <c r="B520" s="6" t="s">
        <v>188</v>
      </c>
      <c r="C520" s="6" t="s">
        <v>742</v>
      </c>
      <c r="D520" s="6" t="s">
        <v>190</v>
      </c>
      <c r="E520" s="9">
        <v>4448.500227187843</v>
      </c>
      <c r="F520" s="18">
        <v>6183415.315791102</v>
      </c>
      <c r="G520" s="6" t="s">
        <v>129</v>
      </c>
    </row>
    <row r="521" spans="1:7" x14ac:dyDescent="0.25">
      <c r="A521" s="6" t="s">
        <v>19</v>
      </c>
      <c r="B521" s="6" t="s">
        <v>192</v>
      </c>
      <c r="C521" s="6" t="s">
        <v>743</v>
      </c>
      <c r="D521" s="6" t="s">
        <v>190</v>
      </c>
      <c r="E521" s="9">
        <v>4448.500227187843</v>
      </c>
      <c r="F521" s="18">
        <v>6183415.315791102</v>
      </c>
      <c r="G521" s="6" t="s">
        <v>136</v>
      </c>
    </row>
    <row r="522" spans="1:7" x14ac:dyDescent="0.25">
      <c r="A522" s="6" t="s">
        <v>19</v>
      </c>
      <c r="B522" s="6" t="s">
        <v>192</v>
      </c>
      <c r="C522" s="6" t="s">
        <v>744</v>
      </c>
      <c r="D522" s="6" t="s">
        <v>190</v>
      </c>
      <c r="E522" s="9">
        <v>4448.500227187843</v>
      </c>
      <c r="F522" s="18">
        <v>6183415.315791102</v>
      </c>
      <c r="G522" s="6" t="s">
        <v>136</v>
      </c>
    </row>
    <row r="523" spans="1:7" x14ac:dyDescent="0.25">
      <c r="A523" s="6" t="s">
        <v>19</v>
      </c>
      <c r="B523" s="6" t="s">
        <v>192</v>
      </c>
      <c r="C523" s="6" t="s">
        <v>745</v>
      </c>
      <c r="D523" s="6" t="s">
        <v>190</v>
      </c>
      <c r="E523" s="9">
        <v>4448.500227187843</v>
      </c>
      <c r="F523" s="18">
        <v>6183415.315791102</v>
      </c>
      <c r="G523" s="6" t="s">
        <v>129</v>
      </c>
    </row>
    <row r="524" spans="1:7" x14ac:dyDescent="0.25">
      <c r="A524" s="6" t="s">
        <v>19</v>
      </c>
      <c r="B524" s="6" t="s">
        <v>192</v>
      </c>
      <c r="C524" s="6" t="s">
        <v>746</v>
      </c>
      <c r="D524" s="6" t="s">
        <v>190</v>
      </c>
      <c r="E524" s="9">
        <v>4448.500227187843</v>
      </c>
      <c r="F524" s="18">
        <v>6183415.315791102</v>
      </c>
      <c r="G524" s="6" t="s">
        <v>129</v>
      </c>
    </row>
    <row r="525" spans="1:7" x14ac:dyDescent="0.25">
      <c r="A525" s="6" t="s">
        <v>19</v>
      </c>
      <c r="B525" s="6" t="s">
        <v>195</v>
      </c>
      <c r="C525" s="6" t="s">
        <v>747</v>
      </c>
      <c r="D525" s="6" t="s">
        <v>190</v>
      </c>
      <c r="E525" s="9">
        <v>4448.500227187843</v>
      </c>
      <c r="F525" s="18">
        <v>6183415.315791102</v>
      </c>
      <c r="G525" s="6" t="s">
        <v>136</v>
      </c>
    </row>
    <row r="526" spans="1:7" x14ac:dyDescent="0.25">
      <c r="A526" s="6" t="s">
        <v>19</v>
      </c>
      <c r="B526" s="6" t="s">
        <v>195</v>
      </c>
      <c r="C526" s="6" t="s">
        <v>748</v>
      </c>
      <c r="D526" s="6" t="s">
        <v>190</v>
      </c>
      <c r="E526" s="9">
        <v>4448.500227187843</v>
      </c>
      <c r="F526" s="18">
        <v>6183415.315791102</v>
      </c>
      <c r="G526" s="6" t="s">
        <v>136</v>
      </c>
    </row>
    <row r="527" spans="1:7" x14ac:dyDescent="0.25">
      <c r="A527" s="6" t="s">
        <v>19</v>
      </c>
      <c r="B527" s="6" t="s">
        <v>195</v>
      </c>
      <c r="C527" s="6" t="s">
        <v>749</v>
      </c>
      <c r="D527" s="6" t="s">
        <v>190</v>
      </c>
      <c r="E527" s="9">
        <v>4448.500227187843</v>
      </c>
      <c r="F527" s="18">
        <v>6183415.315791102</v>
      </c>
      <c r="G527" s="6" t="s">
        <v>129</v>
      </c>
    </row>
    <row r="528" spans="1:7" x14ac:dyDescent="0.25">
      <c r="A528" s="6" t="s">
        <v>19</v>
      </c>
      <c r="B528" s="6" t="s">
        <v>195</v>
      </c>
      <c r="C528" s="6" t="s">
        <v>750</v>
      </c>
      <c r="D528" s="6" t="s">
        <v>190</v>
      </c>
      <c r="E528" s="9">
        <v>4448.500227187843</v>
      </c>
      <c r="F528" s="18">
        <v>6183415.315791102</v>
      </c>
      <c r="G528" s="6" t="s">
        <v>129</v>
      </c>
    </row>
    <row r="529" spans="1:7" x14ac:dyDescent="0.25">
      <c r="A529" s="6" t="s">
        <v>19</v>
      </c>
      <c r="B529" s="6" t="s">
        <v>198</v>
      </c>
      <c r="C529" s="6" t="s">
        <v>751</v>
      </c>
      <c r="D529" s="6" t="s">
        <v>190</v>
      </c>
      <c r="E529" s="9">
        <v>4448.500227187843</v>
      </c>
      <c r="F529" s="18">
        <v>6183415.315791102</v>
      </c>
      <c r="G529" s="6" t="s">
        <v>136</v>
      </c>
    </row>
    <row r="530" spans="1:7" x14ac:dyDescent="0.25">
      <c r="A530" s="6" t="s">
        <v>19</v>
      </c>
      <c r="B530" s="6" t="s">
        <v>198</v>
      </c>
      <c r="C530" s="6" t="s">
        <v>752</v>
      </c>
      <c r="D530" s="6" t="s">
        <v>190</v>
      </c>
      <c r="E530" s="9">
        <v>4448.500227187843</v>
      </c>
      <c r="F530" s="18">
        <v>6183415.315791102</v>
      </c>
      <c r="G530" s="6" t="s">
        <v>136</v>
      </c>
    </row>
    <row r="531" spans="1:7" x14ac:dyDescent="0.25">
      <c r="A531" s="6" t="s">
        <v>19</v>
      </c>
      <c r="B531" s="6" t="s">
        <v>198</v>
      </c>
      <c r="C531" s="6" t="s">
        <v>753</v>
      </c>
      <c r="D531" s="6" t="s">
        <v>190</v>
      </c>
      <c r="E531" s="9">
        <v>4448.500227187843</v>
      </c>
      <c r="F531" s="18">
        <v>6183415.315791102</v>
      </c>
      <c r="G531" s="6" t="s">
        <v>129</v>
      </c>
    </row>
    <row r="532" spans="1:7" x14ac:dyDescent="0.25">
      <c r="A532" s="6" t="s">
        <v>19</v>
      </c>
      <c r="B532" s="6" t="s">
        <v>198</v>
      </c>
      <c r="C532" s="6" t="s">
        <v>754</v>
      </c>
      <c r="D532" s="6" t="s">
        <v>190</v>
      </c>
      <c r="E532" s="9">
        <v>4448.500227187843</v>
      </c>
      <c r="F532" s="18">
        <v>6183415.315791102</v>
      </c>
      <c r="G532" s="6" t="s">
        <v>129</v>
      </c>
    </row>
    <row r="533" spans="1:7" x14ac:dyDescent="0.25">
      <c r="A533" s="6" t="s">
        <v>19</v>
      </c>
      <c r="B533" s="6" t="s">
        <v>201</v>
      </c>
      <c r="C533" s="6" t="s">
        <v>755</v>
      </c>
      <c r="D533" s="6" t="s">
        <v>190</v>
      </c>
      <c r="E533" s="9">
        <v>4448.500227187843</v>
      </c>
      <c r="F533" s="18">
        <v>6183415.315791102</v>
      </c>
      <c r="G533" s="6" t="s">
        <v>134</v>
      </c>
    </row>
    <row r="534" spans="1:7" x14ac:dyDescent="0.25">
      <c r="A534" s="6" t="s">
        <v>19</v>
      </c>
      <c r="B534" s="6" t="s">
        <v>201</v>
      </c>
      <c r="C534" s="6" t="s">
        <v>756</v>
      </c>
      <c r="D534" s="6" t="s">
        <v>190</v>
      </c>
      <c r="E534" s="9">
        <v>4448.500227187843</v>
      </c>
      <c r="F534" s="18">
        <v>6183415.315791102</v>
      </c>
      <c r="G534" s="6" t="s">
        <v>129</v>
      </c>
    </row>
    <row r="535" spans="1:7" x14ac:dyDescent="0.25">
      <c r="A535" s="6" t="s">
        <v>19</v>
      </c>
      <c r="B535" s="6" t="s">
        <v>201</v>
      </c>
      <c r="C535" s="6" t="s">
        <v>757</v>
      </c>
      <c r="D535" s="6" t="s">
        <v>190</v>
      </c>
      <c r="E535" s="9">
        <v>4448.500227187843</v>
      </c>
      <c r="F535" s="18">
        <v>6183415.315791102</v>
      </c>
      <c r="G535" s="6" t="s">
        <v>136</v>
      </c>
    </row>
    <row r="536" spans="1:7" x14ac:dyDescent="0.25">
      <c r="A536" s="6" t="s">
        <v>19</v>
      </c>
      <c r="B536" s="6" t="s">
        <v>201</v>
      </c>
      <c r="C536" s="6" t="s">
        <v>758</v>
      </c>
      <c r="D536" s="6" t="s">
        <v>190</v>
      </c>
      <c r="E536" s="9">
        <v>4448.500227187843</v>
      </c>
      <c r="F536" s="18">
        <v>6183415.315791102</v>
      </c>
      <c r="G536" s="6" t="s">
        <v>136</v>
      </c>
    </row>
    <row r="537" spans="1:7" x14ac:dyDescent="0.25">
      <c r="A537" s="6" t="s">
        <v>19</v>
      </c>
      <c r="B537" s="6" t="s">
        <v>207</v>
      </c>
      <c r="C537" s="6" t="s">
        <v>759</v>
      </c>
      <c r="D537" s="6" t="s">
        <v>209</v>
      </c>
      <c r="E537" s="9">
        <v>3369.2712003595993</v>
      </c>
      <c r="F537" s="18">
        <v>4380052.560467479</v>
      </c>
      <c r="G537" s="6" t="s">
        <v>136</v>
      </c>
    </row>
    <row r="538" spans="1:7" x14ac:dyDescent="0.25">
      <c r="A538" s="6" t="s">
        <v>19</v>
      </c>
      <c r="B538" s="6" t="s">
        <v>207</v>
      </c>
      <c r="C538" s="6" t="s">
        <v>760</v>
      </c>
      <c r="D538" s="6" t="s">
        <v>209</v>
      </c>
      <c r="E538" s="9">
        <v>3369.2712003595993</v>
      </c>
      <c r="F538" s="18">
        <v>4380052.560467479</v>
      </c>
      <c r="G538" s="6" t="s">
        <v>134</v>
      </c>
    </row>
    <row r="539" spans="1:7" x14ac:dyDescent="0.25">
      <c r="A539" s="6" t="s">
        <v>19</v>
      </c>
      <c r="B539" s="6" t="s">
        <v>207</v>
      </c>
      <c r="C539" s="6" t="s">
        <v>761</v>
      </c>
      <c r="D539" s="6" t="s">
        <v>209</v>
      </c>
      <c r="E539" s="9">
        <v>3369.2712003595993</v>
      </c>
      <c r="F539" s="18">
        <v>4380052.560467479</v>
      </c>
      <c r="G539" s="6" t="s">
        <v>129</v>
      </c>
    </row>
    <row r="540" spans="1:7" x14ac:dyDescent="0.25">
      <c r="A540" s="6" t="s">
        <v>19</v>
      </c>
      <c r="B540" s="6" t="s">
        <v>207</v>
      </c>
      <c r="C540" s="6" t="s">
        <v>762</v>
      </c>
      <c r="D540" s="6" t="s">
        <v>209</v>
      </c>
      <c r="E540" s="9">
        <v>3369.2712003595993</v>
      </c>
      <c r="F540" s="18">
        <v>4380052.560467479</v>
      </c>
      <c r="G540" s="6" t="s">
        <v>136</v>
      </c>
    </row>
    <row r="541" spans="1:7" x14ac:dyDescent="0.25">
      <c r="A541" s="6" t="s">
        <v>19</v>
      </c>
      <c r="B541" s="6" t="s">
        <v>207</v>
      </c>
      <c r="C541" s="6" t="s">
        <v>763</v>
      </c>
      <c r="D541" s="6" t="s">
        <v>209</v>
      </c>
      <c r="E541" s="9">
        <v>3369.2712003595993</v>
      </c>
      <c r="F541" s="18">
        <v>4380052.560467479</v>
      </c>
      <c r="G541" s="6" t="s">
        <v>136</v>
      </c>
    </row>
    <row r="542" spans="1:7" x14ac:dyDescent="0.25">
      <c r="A542" s="6" t="s">
        <v>19</v>
      </c>
      <c r="B542" s="6" t="s">
        <v>207</v>
      </c>
      <c r="C542" s="6" t="s">
        <v>764</v>
      </c>
      <c r="D542" s="6" t="s">
        <v>209</v>
      </c>
      <c r="E542" s="9">
        <v>3369.2712003595993</v>
      </c>
      <c r="F542" s="18">
        <v>4380052.560467479</v>
      </c>
      <c r="G542" s="6" t="s">
        <v>129</v>
      </c>
    </row>
    <row r="543" spans="1:7" x14ac:dyDescent="0.25">
      <c r="A543" s="6" t="s">
        <v>19</v>
      </c>
      <c r="B543" s="6" t="s">
        <v>207</v>
      </c>
      <c r="C543" s="6" t="s">
        <v>765</v>
      </c>
      <c r="D543" s="6" t="s">
        <v>209</v>
      </c>
      <c r="E543" s="9">
        <v>3369.2712003595993</v>
      </c>
      <c r="F543" s="18">
        <v>4380052.560467479</v>
      </c>
      <c r="G543" s="6" t="s">
        <v>129</v>
      </c>
    </row>
    <row r="544" spans="1:7" x14ac:dyDescent="0.25">
      <c r="A544" s="6" t="s">
        <v>19</v>
      </c>
      <c r="B544" s="6" t="s">
        <v>207</v>
      </c>
      <c r="C544" s="6" t="s">
        <v>766</v>
      </c>
      <c r="D544" s="6" t="s">
        <v>209</v>
      </c>
      <c r="E544" s="9">
        <v>3369.2712003595993</v>
      </c>
      <c r="F544" s="18">
        <v>4380052.560467479</v>
      </c>
      <c r="G544" s="6" t="s">
        <v>136</v>
      </c>
    </row>
    <row r="545" spans="1:7" x14ac:dyDescent="0.25">
      <c r="A545" s="10" t="s">
        <v>767</v>
      </c>
      <c r="B545" s="10"/>
      <c r="C545" s="10" t="s">
        <v>768</v>
      </c>
      <c r="D545" s="10"/>
      <c r="E545" s="13">
        <f>SUM(E196:E544)</f>
        <v>1086576.684082059</v>
      </c>
      <c r="F545" s="19">
        <f>SUM(F196:F544)</f>
        <v>1939794726.8965783</v>
      </c>
      <c r="G545" s="10" t="s">
        <v>769</v>
      </c>
    </row>
    <row r="547" spans="1:7" x14ac:dyDescent="0.25">
      <c r="A547" s="20" t="s">
        <v>20</v>
      </c>
      <c r="B547" s="20"/>
      <c r="C547" s="20" t="s">
        <v>770</v>
      </c>
      <c r="D547" s="20"/>
      <c r="E547" s="21">
        <f>E66+E160+E194+E545</f>
        <v>1459576.6840820592</v>
      </c>
      <c r="F547" s="22">
        <f>F66+F160+F194+F545</f>
        <v>2462248798.997615</v>
      </c>
      <c r="G547" s="2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workbookViewId="0" showGridLines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5" width="16" customWidth="1"/>
  </cols>
  <sheetData>
    <row r="1" spans="1:1" x14ac:dyDescent="0.25">
      <c r="A1" s="1" t="s">
        <v>0</v>
      </c>
    </row>
    <row r="2" spans="1:1" x14ac:dyDescent="0.25">
      <c r="A2" s="2" t="s">
        <v>771</v>
      </c>
    </row>
    <row r="3" spans="1:1" x14ac:dyDescent="0.25">
      <c r="A3" s="3" t="s">
        <v>2</v>
      </c>
    </row>
    <row r="5" spans="1:25" x14ac:dyDescent="0.25">
      <c r="B5" s="23" t="s">
        <v>16</v>
      </c>
      <c r="C5" s="23"/>
      <c r="D5" s="23"/>
      <c r="E5" s="23"/>
      <c r="F5" s="23"/>
      <c r="G5" s="23"/>
      <c r="H5" s="23" t="s">
        <v>17</v>
      </c>
      <c r="I5" s="23"/>
      <c r="J5" s="23"/>
      <c r="K5" s="23"/>
      <c r="L5" s="23"/>
      <c r="M5" s="23"/>
      <c r="N5" s="23" t="s">
        <v>18</v>
      </c>
      <c r="O5" s="23"/>
      <c r="P5" s="23"/>
      <c r="Q5" s="23"/>
      <c r="R5" s="23"/>
      <c r="S5" s="23"/>
      <c r="T5" s="23" t="s">
        <v>19</v>
      </c>
      <c r="U5" s="23"/>
      <c r="V5" s="23"/>
      <c r="W5" s="23"/>
      <c r="X5" s="23"/>
      <c r="Y5" s="23"/>
    </row>
    <row r="6" spans="1:25" x14ac:dyDescent="0.25">
      <c r="A6" s="4" t="s">
        <v>772</v>
      </c>
      <c r="B6" s="5" t="s">
        <v>773</v>
      </c>
      <c r="C6" s="5" t="s">
        <v>774</v>
      </c>
      <c r="D6" s="5" t="s">
        <v>775</v>
      </c>
      <c r="E6" s="5" t="s">
        <v>776</v>
      </c>
      <c r="F6" s="5" t="s">
        <v>777</v>
      </c>
      <c r="G6" s="5" t="s">
        <v>778</v>
      </c>
      <c r="H6" s="5" t="s">
        <v>773</v>
      </c>
      <c r="I6" s="5" t="s">
        <v>774</v>
      </c>
      <c r="J6" s="5" t="s">
        <v>775</v>
      </c>
      <c r="K6" s="5" t="s">
        <v>776</v>
      </c>
      <c r="L6" s="5" t="s">
        <v>777</v>
      </c>
      <c r="M6" s="5" t="s">
        <v>778</v>
      </c>
      <c r="N6" s="5" t="s">
        <v>773</v>
      </c>
      <c r="O6" s="5" t="s">
        <v>774</v>
      </c>
      <c r="P6" s="5" t="s">
        <v>775</v>
      </c>
      <c r="Q6" s="5" t="s">
        <v>776</v>
      </c>
      <c r="R6" s="5" t="s">
        <v>777</v>
      </c>
      <c r="S6" s="5" t="s">
        <v>778</v>
      </c>
      <c r="T6" s="5" t="s">
        <v>773</v>
      </c>
      <c r="U6" s="5" t="s">
        <v>774</v>
      </c>
      <c r="V6" s="5" t="s">
        <v>775</v>
      </c>
      <c r="W6" s="5" t="s">
        <v>776</v>
      </c>
      <c r="X6" s="5" t="s">
        <v>777</v>
      </c>
      <c r="Y6" s="5" t="s">
        <v>778</v>
      </c>
    </row>
    <row r="7" spans="1:25" x14ac:dyDescent="0.25">
      <c r="A7" s="24">
        <v>0</v>
      </c>
      <c r="B7" s="18">
        <v>24400000</v>
      </c>
      <c r="C7" s="18">
        <v>0</v>
      </c>
      <c r="D7" s="18">
        <v>24400000</v>
      </c>
      <c r="E7" s="18">
        <v>0</v>
      </c>
      <c r="F7" s="18">
        <v>0</v>
      </c>
      <c r="G7" s="18">
        <v>-24400000</v>
      </c>
      <c r="H7" s="18">
        <v>42700000</v>
      </c>
      <c r="I7" s="18">
        <v>0</v>
      </c>
      <c r="J7" s="18">
        <v>42700000</v>
      </c>
      <c r="K7" s="18">
        <v>0</v>
      </c>
      <c r="L7" s="18">
        <v>0</v>
      </c>
      <c r="M7" s="18">
        <v>-42700000</v>
      </c>
      <c r="N7" s="18">
        <v>10900000</v>
      </c>
      <c r="O7" s="18">
        <v>0</v>
      </c>
      <c r="P7" s="18">
        <v>10900000</v>
      </c>
      <c r="Q7" s="18">
        <v>0</v>
      </c>
      <c r="R7" s="18">
        <v>0</v>
      </c>
      <c r="S7" s="18">
        <v>-10900000</v>
      </c>
      <c r="T7" s="18">
        <v>336000000</v>
      </c>
      <c r="U7" s="18">
        <v>0</v>
      </c>
      <c r="V7" s="18">
        <v>336000000</v>
      </c>
      <c r="W7" s="18">
        <v>0</v>
      </c>
      <c r="X7" s="18">
        <v>0</v>
      </c>
      <c r="Y7" s="18">
        <v>-336000000</v>
      </c>
    </row>
    <row r="8" spans="1:25" x14ac:dyDescent="0.25">
      <c r="A8" s="24">
        <v>1</v>
      </c>
      <c r="B8" s="18">
        <v>17647.166260644422</v>
      </c>
      <c r="C8" s="18">
        <v>0</v>
      </c>
      <c r="D8" s="18">
        <v>17647.166260644422</v>
      </c>
      <c r="E8" s="18">
        <v>0</v>
      </c>
      <c r="F8" s="18">
        <v>0</v>
      </c>
      <c r="G8" s="18">
        <v>-24417647.166260645</v>
      </c>
      <c r="H8" s="18">
        <v>30135.930075869706</v>
      </c>
      <c r="I8" s="18">
        <v>0</v>
      </c>
      <c r="J8" s="18">
        <v>30135.930075869706</v>
      </c>
      <c r="K8" s="18">
        <v>0</v>
      </c>
      <c r="L8" s="18">
        <v>0</v>
      </c>
      <c r="M8" s="18">
        <v>-42730135.93007587</v>
      </c>
      <c r="N8" s="18">
        <v>8615.437066735123</v>
      </c>
      <c r="O8" s="18">
        <v>0</v>
      </c>
      <c r="P8" s="18">
        <v>8615.437066735123</v>
      </c>
      <c r="Q8" s="18">
        <v>0</v>
      </c>
      <c r="R8" s="18">
        <v>0</v>
      </c>
      <c r="S8" s="18">
        <v>-10908615.437066736</v>
      </c>
      <c r="T8" s="18">
        <v>37648.31860343027</v>
      </c>
      <c r="U8" s="18">
        <v>0</v>
      </c>
      <c r="V8" s="18">
        <v>37648.31860343027</v>
      </c>
      <c r="W8" s="18">
        <v>0</v>
      </c>
      <c r="X8" s="18">
        <v>0</v>
      </c>
      <c r="Y8" s="18">
        <v>-336037648.31860346</v>
      </c>
    </row>
    <row r="9" spans="1:25" x14ac:dyDescent="0.25">
      <c r="A9" s="24">
        <v>2</v>
      </c>
      <c r="B9" s="18">
        <v>157666.53840679242</v>
      </c>
      <c r="C9" s="18">
        <v>0</v>
      </c>
      <c r="D9" s="18">
        <v>157666.53840679242</v>
      </c>
      <c r="E9" s="18">
        <v>0</v>
      </c>
      <c r="F9" s="18">
        <v>0</v>
      </c>
      <c r="G9" s="18">
        <v>-24575313.704667438</v>
      </c>
      <c r="H9" s="18">
        <v>269245.9348177532</v>
      </c>
      <c r="I9" s="18">
        <v>0</v>
      </c>
      <c r="J9" s="18">
        <v>269245.9348177532</v>
      </c>
      <c r="K9" s="18">
        <v>0</v>
      </c>
      <c r="L9" s="18">
        <v>0</v>
      </c>
      <c r="M9" s="18">
        <v>-42999381.86489362</v>
      </c>
      <c r="N9" s="18">
        <v>76973.61259654685</v>
      </c>
      <c r="O9" s="18">
        <v>0</v>
      </c>
      <c r="P9" s="18">
        <v>76973.61259654685</v>
      </c>
      <c r="Q9" s="18">
        <v>0</v>
      </c>
      <c r="R9" s="18">
        <v>0</v>
      </c>
      <c r="S9" s="18">
        <v>-10985589.049663283</v>
      </c>
      <c r="T9" s="18">
        <v>338070.95852111984</v>
      </c>
      <c r="U9" s="18">
        <v>0</v>
      </c>
      <c r="V9" s="18">
        <v>338070.95852111984</v>
      </c>
      <c r="W9" s="18">
        <v>0</v>
      </c>
      <c r="X9" s="18">
        <v>0</v>
      </c>
      <c r="Y9" s="18">
        <v>-336375719.2771246</v>
      </c>
    </row>
    <row r="10" spans="1:25" x14ac:dyDescent="0.25">
      <c r="A10" s="24">
        <v>3</v>
      </c>
      <c r="B10" s="18">
        <v>431585.7642488091</v>
      </c>
      <c r="C10" s="18">
        <v>0</v>
      </c>
      <c r="D10" s="18">
        <v>431585.7642488091</v>
      </c>
      <c r="E10" s="18">
        <v>0</v>
      </c>
      <c r="F10" s="18">
        <v>0</v>
      </c>
      <c r="G10" s="18">
        <v>-25006899.46891625</v>
      </c>
      <c r="H10" s="18">
        <v>737015.689717197</v>
      </c>
      <c r="I10" s="18">
        <v>0</v>
      </c>
      <c r="J10" s="18">
        <v>737015.689717197</v>
      </c>
      <c r="K10" s="18">
        <v>0</v>
      </c>
      <c r="L10" s="18">
        <v>0</v>
      </c>
      <c r="M10" s="18">
        <v>-43736397.55461082</v>
      </c>
      <c r="N10" s="18">
        <v>210702.38336659805</v>
      </c>
      <c r="O10" s="18">
        <v>0</v>
      </c>
      <c r="P10" s="18">
        <v>210702.38336659805</v>
      </c>
      <c r="Q10" s="18">
        <v>0</v>
      </c>
      <c r="R10" s="18">
        <v>0</v>
      </c>
      <c r="S10" s="18">
        <v>-11196291.43302988</v>
      </c>
      <c r="T10" s="18">
        <v>934853.5375218082</v>
      </c>
      <c r="U10" s="18">
        <v>0</v>
      </c>
      <c r="V10" s="18">
        <v>934853.5375218082</v>
      </c>
      <c r="W10" s="18">
        <v>0</v>
      </c>
      <c r="X10" s="18">
        <v>0</v>
      </c>
      <c r="Y10" s="18">
        <v>-337310572.81464636</v>
      </c>
    </row>
    <row r="11" spans="1:25" x14ac:dyDescent="0.25">
      <c r="A11" s="24">
        <v>4</v>
      </c>
      <c r="B11" s="18">
        <v>827433.259207122</v>
      </c>
      <c r="C11" s="18">
        <v>0</v>
      </c>
      <c r="D11" s="18">
        <v>827433.259207122</v>
      </c>
      <c r="E11" s="18">
        <v>0</v>
      </c>
      <c r="F11" s="18">
        <v>0</v>
      </c>
      <c r="G11" s="18">
        <v>-25834332.72812337</v>
      </c>
      <c r="H11" s="18">
        <v>1413001.4118767777</v>
      </c>
      <c r="I11" s="18">
        <v>0</v>
      </c>
      <c r="J11" s="18">
        <v>1413001.4118767777</v>
      </c>
      <c r="K11" s="18">
        <v>0</v>
      </c>
      <c r="L11" s="18">
        <v>0</v>
      </c>
      <c r="M11" s="18">
        <v>-45149398.966487594</v>
      </c>
      <c r="N11" s="18">
        <v>403957.1603924001</v>
      </c>
      <c r="O11" s="18">
        <v>0</v>
      </c>
      <c r="P11" s="18">
        <v>403957.1603924001</v>
      </c>
      <c r="Q11" s="18">
        <v>0</v>
      </c>
      <c r="R11" s="18">
        <v>0</v>
      </c>
      <c r="S11" s="18">
        <v>-11600248.59342228</v>
      </c>
      <c r="T11" s="18">
        <v>1819925.5949954127</v>
      </c>
      <c r="U11" s="18">
        <v>0</v>
      </c>
      <c r="V11" s="18">
        <v>1819925.5949954127</v>
      </c>
      <c r="W11" s="18">
        <v>0</v>
      </c>
      <c r="X11" s="18">
        <v>0</v>
      </c>
      <c r="Y11" s="18">
        <v>-339130498.4096418</v>
      </c>
    </row>
    <row r="12" spans="1:25" x14ac:dyDescent="0.25">
      <c r="A12" s="24">
        <v>5</v>
      </c>
      <c r="B12" s="18">
        <v>1327908.588265027</v>
      </c>
      <c r="C12" s="18">
        <v>0</v>
      </c>
      <c r="D12" s="18">
        <v>1327908.588265027</v>
      </c>
      <c r="E12" s="18">
        <v>0</v>
      </c>
      <c r="F12" s="18">
        <v>0</v>
      </c>
      <c r="G12" s="18">
        <v>-27162241.3163884</v>
      </c>
      <c r="H12" s="18">
        <v>2267659.281498738</v>
      </c>
      <c r="I12" s="18">
        <v>0</v>
      </c>
      <c r="J12" s="18">
        <v>2267659.281498738</v>
      </c>
      <c r="K12" s="18">
        <v>0</v>
      </c>
      <c r="L12" s="18">
        <v>0</v>
      </c>
      <c r="M12" s="18">
        <v>-47417058.24798633</v>
      </c>
      <c r="N12" s="18">
        <v>648291.7825786183</v>
      </c>
      <c r="O12" s="18">
        <v>0</v>
      </c>
      <c r="P12" s="18">
        <v>648291.7825786183</v>
      </c>
      <c r="Q12" s="18">
        <v>0</v>
      </c>
      <c r="R12" s="18">
        <v>0</v>
      </c>
      <c r="S12" s="18">
        <v>-12248540.3760009</v>
      </c>
      <c r="T12" s="18">
        <v>2981318.049691451</v>
      </c>
      <c r="U12" s="18">
        <v>0</v>
      </c>
      <c r="V12" s="18">
        <v>2981318.049691451</v>
      </c>
      <c r="W12" s="18">
        <v>0</v>
      </c>
      <c r="X12" s="18">
        <v>0</v>
      </c>
      <c r="Y12" s="18">
        <v>-342111816.45933324</v>
      </c>
    </row>
    <row r="13" spans="1:25" x14ac:dyDescent="0.25">
      <c r="A13" s="24">
        <v>6</v>
      </c>
      <c r="B13" s="18">
        <v>1911138.5779956162</v>
      </c>
      <c r="C13" s="18">
        <v>0</v>
      </c>
      <c r="D13" s="18">
        <v>1911138.5779956162</v>
      </c>
      <c r="E13" s="18">
        <v>0</v>
      </c>
      <c r="F13" s="18">
        <v>0</v>
      </c>
      <c r="G13" s="18">
        <v>-29073379.894384015</v>
      </c>
      <c r="H13" s="18">
        <v>3263636.6485771295</v>
      </c>
      <c r="I13" s="18">
        <v>0</v>
      </c>
      <c r="J13" s="18">
        <v>3263636.6485771295</v>
      </c>
      <c r="K13" s="18">
        <v>0</v>
      </c>
      <c r="L13" s="18">
        <v>0</v>
      </c>
      <c r="M13" s="18">
        <v>-50680694.89656346</v>
      </c>
      <c r="N13" s="18">
        <v>933027.6544881163</v>
      </c>
      <c r="O13" s="18">
        <v>0</v>
      </c>
      <c r="P13" s="18">
        <v>933027.6544881163</v>
      </c>
      <c r="Q13" s="18">
        <v>0</v>
      </c>
      <c r="R13" s="18">
        <v>0</v>
      </c>
      <c r="S13" s="18">
        <v>-13181568.030489016</v>
      </c>
      <c r="T13" s="18">
        <v>4403325.061010204</v>
      </c>
      <c r="U13" s="18">
        <v>0</v>
      </c>
      <c r="V13" s="18">
        <v>4403325.061010204</v>
      </c>
      <c r="W13" s="18">
        <v>0</v>
      </c>
      <c r="X13" s="18">
        <v>0</v>
      </c>
      <c r="Y13" s="18">
        <v>-346515141.5203434</v>
      </c>
    </row>
    <row r="14" spans="1:25" x14ac:dyDescent="0.25">
      <c r="A14" s="24">
        <v>7</v>
      </c>
      <c r="B14" s="18">
        <v>2551633.2791996705</v>
      </c>
      <c r="C14" s="18">
        <v>0</v>
      </c>
      <c r="D14" s="18">
        <v>2551633.2791996705</v>
      </c>
      <c r="E14" s="18">
        <v>0</v>
      </c>
      <c r="F14" s="18">
        <v>0</v>
      </c>
      <c r="G14" s="18">
        <v>-31625013.173583686</v>
      </c>
      <c r="H14" s="18">
        <v>4357404.522940976</v>
      </c>
      <c r="I14" s="18">
        <v>0</v>
      </c>
      <c r="J14" s="18">
        <v>4357404.522940976</v>
      </c>
      <c r="K14" s="18">
        <v>0</v>
      </c>
      <c r="L14" s="18">
        <v>0</v>
      </c>
      <c r="M14" s="18">
        <v>-55038099.41950444</v>
      </c>
      <c r="N14" s="18">
        <v>1245720.4522041467</v>
      </c>
      <c r="O14" s="18">
        <v>0</v>
      </c>
      <c r="P14" s="18">
        <v>1245720.4522041467</v>
      </c>
      <c r="Q14" s="18">
        <v>0</v>
      </c>
      <c r="R14" s="18">
        <v>0</v>
      </c>
      <c r="S14" s="18">
        <v>-14427288.482693164</v>
      </c>
      <c r="T14" s="18">
        <v>6066716.4235537</v>
      </c>
      <c r="U14" s="18">
        <v>0</v>
      </c>
      <c r="V14" s="18">
        <v>6066716.4235537</v>
      </c>
      <c r="W14" s="18">
        <v>0</v>
      </c>
      <c r="X14" s="18">
        <v>0</v>
      </c>
      <c r="Y14" s="18">
        <v>-352581857.9438971</v>
      </c>
    </row>
    <row r="15" spans="1:25" x14ac:dyDescent="0.25">
      <c r="A15" s="24">
        <v>8</v>
      </c>
      <c r="B15" s="18">
        <v>3221399.9999999986</v>
      </c>
      <c r="C15" s="18">
        <v>0</v>
      </c>
      <c r="D15" s="18">
        <v>3221399.9999999986</v>
      </c>
      <c r="E15" s="18">
        <v>0</v>
      </c>
      <c r="F15" s="18">
        <v>0</v>
      </c>
      <c r="G15" s="18">
        <v>-34846413.17358369</v>
      </c>
      <c r="H15" s="18">
        <v>5501159.999999997</v>
      </c>
      <c r="I15" s="18">
        <v>0</v>
      </c>
      <c r="J15" s="18">
        <v>5501159.999999997</v>
      </c>
      <c r="K15" s="18">
        <v>0</v>
      </c>
      <c r="L15" s="18">
        <v>0</v>
      </c>
      <c r="M15" s="18">
        <v>-60539259.41950444</v>
      </c>
      <c r="N15" s="18">
        <v>1572703.9999999993</v>
      </c>
      <c r="O15" s="18">
        <v>0</v>
      </c>
      <c r="P15" s="18">
        <v>1572703.9999999993</v>
      </c>
      <c r="Q15" s="18">
        <v>0</v>
      </c>
      <c r="R15" s="18">
        <v>0</v>
      </c>
      <c r="S15" s="18">
        <v>-15999992.482693164</v>
      </c>
      <c r="T15" s="18">
        <v>7948997.622664607</v>
      </c>
      <c r="U15" s="18">
        <v>0</v>
      </c>
      <c r="V15" s="18">
        <v>7948997.622664607</v>
      </c>
      <c r="W15" s="18">
        <v>0</v>
      </c>
      <c r="X15" s="18">
        <v>0</v>
      </c>
      <c r="Y15" s="18">
        <v>-360530855.56656176</v>
      </c>
    </row>
    <row r="16" spans="1:25" x14ac:dyDescent="0.25">
      <c r="A16" s="24">
        <v>9</v>
      </c>
      <c r="B16" s="18">
        <v>3891166.7208003295</v>
      </c>
      <c r="C16" s="18">
        <v>0</v>
      </c>
      <c r="D16" s="18">
        <v>3891166.7208003295</v>
      </c>
      <c r="E16" s="18">
        <v>0</v>
      </c>
      <c r="F16" s="18">
        <v>0</v>
      </c>
      <c r="G16" s="18">
        <v>-38737579.89438402</v>
      </c>
      <c r="H16" s="18">
        <v>6644915.477059024</v>
      </c>
      <c r="I16" s="18">
        <v>0</v>
      </c>
      <c r="J16" s="18">
        <v>6644915.477059024</v>
      </c>
      <c r="K16" s="18">
        <v>0</v>
      </c>
      <c r="L16" s="18">
        <v>0</v>
      </c>
      <c r="M16" s="18">
        <v>-67184174.89656347</v>
      </c>
      <c r="N16" s="18">
        <v>1899687.547795853</v>
      </c>
      <c r="O16" s="18">
        <v>0</v>
      </c>
      <c r="P16" s="18">
        <v>1899687.547795853</v>
      </c>
      <c r="Q16" s="18">
        <v>0</v>
      </c>
      <c r="R16" s="18">
        <v>0</v>
      </c>
      <c r="S16" s="18">
        <v>-17899680.030489016</v>
      </c>
      <c r="T16" s="18">
        <v>10024714.034148034</v>
      </c>
      <c r="U16" s="18">
        <v>0</v>
      </c>
      <c r="V16" s="18">
        <v>10024714.034148034</v>
      </c>
      <c r="W16" s="18">
        <v>0</v>
      </c>
      <c r="X16" s="18">
        <v>0</v>
      </c>
      <c r="Y16" s="18">
        <v>-370555569.6007098</v>
      </c>
    </row>
    <row r="17" spans="1:25" x14ac:dyDescent="0.25">
      <c r="A17" s="24">
        <v>10</v>
      </c>
      <c r="B17" s="18">
        <v>4531661.422004382</v>
      </c>
      <c r="C17" s="18">
        <v>0</v>
      </c>
      <c r="D17" s="18">
        <v>4531661.422004382</v>
      </c>
      <c r="E17" s="18">
        <v>0</v>
      </c>
      <c r="F17" s="18">
        <v>0</v>
      </c>
      <c r="G17" s="18">
        <v>-43269241.3163884</v>
      </c>
      <c r="H17" s="18">
        <v>7738683.351422868</v>
      </c>
      <c r="I17" s="18">
        <v>0</v>
      </c>
      <c r="J17" s="18">
        <v>7738683.351422868</v>
      </c>
      <c r="K17" s="18">
        <v>0</v>
      </c>
      <c r="L17" s="18">
        <v>0</v>
      </c>
      <c r="M17" s="18">
        <v>-74922858.24798633</v>
      </c>
      <c r="N17" s="18">
        <v>2212380.345511883</v>
      </c>
      <c r="O17" s="18">
        <v>0</v>
      </c>
      <c r="P17" s="18">
        <v>2212380.345511883</v>
      </c>
      <c r="Q17" s="18">
        <v>0</v>
      </c>
      <c r="R17" s="18">
        <v>0</v>
      </c>
      <c r="S17" s="18">
        <v>-20112060.3760009</v>
      </c>
      <c r="T17" s="18">
        <v>12265795.154396703</v>
      </c>
      <c r="U17" s="18">
        <v>0</v>
      </c>
      <c r="V17" s="18">
        <v>12265795.154396703</v>
      </c>
      <c r="W17" s="18">
        <v>0</v>
      </c>
      <c r="X17" s="18">
        <v>0</v>
      </c>
      <c r="Y17" s="18">
        <v>-382821364.7551065</v>
      </c>
    </row>
    <row r="18" spans="1:25" x14ac:dyDescent="0.25">
      <c r="A18" s="24">
        <v>11</v>
      </c>
      <c r="B18" s="18">
        <v>5114891.411734971</v>
      </c>
      <c r="C18" s="18">
        <v>0</v>
      </c>
      <c r="D18" s="18">
        <v>5114891.411734971</v>
      </c>
      <c r="E18" s="18">
        <v>0</v>
      </c>
      <c r="F18" s="18">
        <v>0</v>
      </c>
      <c r="G18" s="18">
        <v>-48384132.72812337</v>
      </c>
      <c r="H18" s="18">
        <v>8734660.718501259</v>
      </c>
      <c r="I18" s="18">
        <v>0</v>
      </c>
      <c r="J18" s="18">
        <v>8171061.752013668</v>
      </c>
      <c r="K18" s="18">
        <v>0</v>
      </c>
      <c r="L18" s="18">
        <v>563598.9664875902</v>
      </c>
      <c r="M18" s="18">
        <v>-83093920</v>
      </c>
      <c r="N18" s="18">
        <v>2497116.217421381</v>
      </c>
      <c r="O18" s="18">
        <v>0</v>
      </c>
      <c r="P18" s="18">
        <v>2497116.217421381</v>
      </c>
      <c r="Q18" s="18">
        <v>0</v>
      </c>
      <c r="R18" s="18">
        <v>0</v>
      </c>
      <c r="S18" s="18">
        <v>-22609176.59342228</v>
      </c>
      <c r="T18" s="18">
        <v>14641934.20579782</v>
      </c>
      <c r="U18" s="18">
        <v>0</v>
      </c>
      <c r="V18" s="18">
        <v>14641934.20579782</v>
      </c>
      <c r="W18" s="18">
        <v>0</v>
      </c>
      <c r="X18" s="18">
        <v>0</v>
      </c>
      <c r="Y18" s="18">
        <v>-397463298.9609043</v>
      </c>
    </row>
    <row r="19" spans="1:25" x14ac:dyDescent="0.25">
      <c r="A19" s="24">
        <v>12</v>
      </c>
      <c r="B19" s="18">
        <v>5615366.740792877</v>
      </c>
      <c r="C19" s="18">
        <v>0</v>
      </c>
      <c r="D19" s="18">
        <v>32667.271876633167</v>
      </c>
      <c r="E19" s="18">
        <v>0</v>
      </c>
      <c r="F19" s="18">
        <v>5582699.468916244</v>
      </c>
      <c r="G19" s="18">
        <v>-48416800</v>
      </c>
      <c r="H19" s="18">
        <v>9589318.588123221</v>
      </c>
      <c r="I19" s="18">
        <v>0</v>
      </c>
      <c r="J19" s="18">
        <v>0</v>
      </c>
      <c r="K19" s="18">
        <v>0</v>
      </c>
      <c r="L19" s="18">
        <v>10156909.713956766</v>
      </c>
      <c r="M19" s="18">
        <v>-83093920</v>
      </c>
      <c r="N19" s="18">
        <v>2741450.839607599</v>
      </c>
      <c r="O19" s="18">
        <v>0</v>
      </c>
      <c r="P19" s="18">
        <v>623271.4065777212</v>
      </c>
      <c r="Q19" s="18">
        <v>0</v>
      </c>
      <c r="R19" s="18">
        <v>2118179.433029878</v>
      </c>
      <c r="S19" s="18">
        <v>-23232448</v>
      </c>
      <c r="T19" s="18">
        <v>17120997.983909417</v>
      </c>
      <c r="U19" s="18">
        <v>0</v>
      </c>
      <c r="V19" s="18">
        <v>17120997.983909417</v>
      </c>
      <c r="W19" s="18">
        <v>0</v>
      </c>
      <c r="X19" s="18">
        <v>0</v>
      </c>
      <c r="Y19" s="18">
        <v>-414584296.9448137</v>
      </c>
    </row>
    <row r="20" spans="1:25" x14ac:dyDescent="0.25">
      <c r="A20" s="24">
        <v>13</v>
      </c>
      <c r="B20" s="18">
        <v>6011214.23575119</v>
      </c>
      <c r="C20" s="18">
        <v>0</v>
      </c>
      <c r="D20" s="18">
        <v>0</v>
      </c>
      <c r="E20" s="18">
        <v>0</v>
      </c>
      <c r="F20" s="18">
        <v>11633457.825905591</v>
      </c>
      <c r="G20" s="18">
        <v>-48416800</v>
      </c>
      <c r="H20" s="18">
        <v>10265304.310282802</v>
      </c>
      <c r="I20" s="18">
        <v>0</v>
      </c>
      <c r="J20" s="18">
        <v>0</v>
      </c>
      <c r="K20" s="18">
        <v>0</v>
      </c>
      <c r="L20" s="18">
        <v>20494158.801380098</v>
      </c>
      <c r="M20" s="18">
        <v>-83093920</v>
      </c>
      <c r="N20" s="18">
        <v>2934705.6166334017</v>
      </c>
      <c r="O20" s="18">
        <v>0</v>
      </c>
      <c r="P20" s="18">
        <v>0</v>
      </c>
      <c r="Q20" s="18">
        <v>0</v>
      </c>
      <c r="R20" s="18">
        <v>5067888.820647242</v>
      </c>
      <c r="S20" s="18">
        <v>-23232448</v>
      </c>
      <c r="T20" s="18">
        <v>19669461.403926514</v>
      </c>
      <c r="U20" s="18">
        <v>0</v>
      </c>
      <c r="V20" s="18">
        <v>19669461.403926514</v>
      </c>
      <c r="W20" s="18">
        <v>0</v>
      </c>
      <c r="X20" s="18">
        <v>0</v>
      </c>
      <c r="Y20" s="18">
        <v>-434253758.3487402</v>
      </c>
    </row>
    <row r="21" spans="1:25" x14ac:dyDescent="0.25">
      <c r="A21" s="24">
        <v>14</v>
      </c>
      <c r="B21" s="18">
        <v>6285133.461593207</v>
      </c>
      <c r="C21" s="18">
        <v>0</v>
      </c>
      <c r="D21" s="18">
        <v>0</v>
      </c>
      <c r="E21" s="18">
        <v>0</v>
      </c>
      <c r="F21" s="18">
        <v>18000994.947098963</v>
      </c>
      <c r="G21" s="18">
        <v>-48416800</v>
      </c>
      <c r="H21" s="18">
        <v>10733074.065182246</v>
      </c>
      <c r="I21" s="18">
        <v>0</v>
      </c>
      <c r="J21" s="18">
        <v>0</v>
      </c>
      <c r="K21" s="18">
        <v>0</v>
      </c>
      <c r="L21" s="18">
        <v>31372399.824738786</v>
      </c>
      <c r="M21" s="18">
        <v>-83093920</v>
      </c>
      <c r="N21" s="18">
        <v>3068434.387403453</v>
      </c>
      <c r="O21" s="18">
        <v>0</v>
      </c>
      <c r="P21" s="18">
        <v>0</v>
      </c>
      <c r="Q21" s="18">
        <v>0</v>
      </c>
      <c r="R21" s="18">
        <v>8172220.753863612</v>
      </c>
      <c r="S21" s="18">
        <v>-23232448</v>
      </c>
      <c r="T21" s="18">
        <v>22252860.869941305</v>
      </c>
      <c r="U21" s="18">
        <v>0</v>
      </c>
      <c r="V21" s="18">
        <v>22252860.869941305</v>
      </c>
      <c r="W21" s="18">
        <v>0</v>
      </c>
      <c r="X21" s="18">
        <v>0</v>
      </c>
      <c r="Y21" s="18">
        <v>-456506619.2186815</v>
      </c>
    </row>
    <row r="22" spans="1:25" x14ac:dyDescent="0.25">
      <c r="A22" s="24">
        <v>15</v>
      </c>
      <c r="B22" s="18">
        <v>6425152.833739355</v>
      </c>
      <c r="C22" s="18">
        <v>0</v>
      </c>
      <c r="D22" s="18">
        <v>0</v>
      </c>
      <c r="E22" s="18">
        <v>0</v>
      </c>
      <c r="F22" s="18">
        <v>24553654.828380268</v>
      </c>
      <c r="G22" s="18">
        <v>-48416800</v>
      </c>
      <c r="H22" s="18">
        <v>10972184.06992413</v>
      </c>
      <c r="I22" s="18">
        <v>0</v>
      </c>
      <c r="J22" s="18">
        <v>0</v>
      </c>
      <c r="K22" s="18">
        <v>0</v>
      </c>
      <c r="L22" s="18">
        <v>42566805.06008815</v>
      </c>
      <c r="M22" s="18">
        <v>-83093920</v>
      </c>
      <c r="N22" s="18">
        <v>3136792.5629332648</v>
      </c>
      <c r="O22" s="18">
        <v>0</v>
      </c>
      <c r="P22" s="18">
        <v>0</v>
      </c>
      <c r="Q22" s="18">
        <v>0</v>
      </c>
      <c r="R22" s="18">
        <v>11366899.880470078</v>
      </c>
      <c r="S22" s="18">
        <v>-23232448</v>
      </c>
      <c r="T22" s="18">
        <v>24836260.3359561</v>
      </c>
      <c r="U22" s="18">
        <v>0</v>
      </c>
      <c r="V22" s="18">
        <v>24836260.3359561</v>
      </c>
      <c r="W22" s="18">
        <v>0</v>
      </c>
      <c r="X22" s="18">
        <v>0</v>
      </c>
      <c r="Y22" s="18">
        <v>-481342879.5546376</v>
      </c>
    </row>
    <row r="23" spans="1:25" x14ac:dyDescent="0.25">
      <c r="A23" s="24">
        <v>16</v>
      </c>
      <c r="B23" s="18">
        <v>6425152.833739355</v>
      </c>
      <c r="C23" s="18">
        <v>0</v>
      </c>
      <c r="D23" s="18">
        <v>0</v>
      </c>
      <c r="E23" s="18">
        <v>0</v>
      </c>
      <c r="F23" s="18">
        <v>31152729.38382065</v>
      </c>
      <c r="G23" s="18">
        <v>-48416800</v>
      </c>
      <c r="H23" s="18">
        <v>10972184.06992413</v>
      </c>
      <c r="I23" s="18">
        <v>0</v>
      </c>
      <c r="J23" s="18">
        <v>0</v>
      </c>
      <c r="K23" s="18">
        <v>0</v>
      </c>
      <c r="L23" s="18">
        <v>53840503.99918791</v>
      </c>
      <c r="M23" s="18">
        <v>-83093920</v>
      </c>
      <c r="N23" s="18">
        <v>3136792.5629332648</v>
      </c>
      <c r="O23" s="18">
        <v>0</v>
      </c>
      <c r="P23" s="18">
        <v>0</v>
      </c>
      <c r="Q23" s="18">
        <v>0</v>
      </c>
      <c r="R23" s="18">
        <v>14584207.98422334</v>
      </c>
      <c r="S23" s="18">
        <v>-23232448</v>
      </c>
      <c r="T23" s="18">
        <v>27384723.755973198</v>
      </c>
      <c r="U23" s="18">
        <v>0</v>
      </c>
      <c r="V23" s="18">
        <v>27384723.755973198</v>
      </c>
      <c r="W23" s="18">
        <v>0</v>
      </c>
      <c r="X23" s="18">
        <v>0</v>
      </c>
      <c r="Y23" s="18">
        <v>-508727603.31061083</v>
      </c>
    </row>
    <row r="24" spans="1:25" x14ac:dyDescent="0.25">
      <c r="A24" s="24">
        <v>17</v>
      </c>
      <c r="B24" s="18">
        <v>6285133.461593207</v>
      </c>
      <c r="C24" s="18">
        <v>0</v>
      </c>
      <c r="D24" s="18">
        <v>0</v>
      </c>
      <c r="E24" s="18">
        <v>0</v>
      </c>
      <c r="F24" s="18">
        <v>37658528.01188259</v>
      </c>
      <c r="G24" s="18">
        <v>-48416800</v>
      </c>
      <c r="H24" s="18">
        <v>10733074.065182246</v>
      </c>
      <c r="I24" s="18">
        <v>0</v>
      </c>
      <c r="J24" s="18">
        <v>0</v>
      </c>
      <c r="K24" s="18">
        <v>0</v>
      </c>
      <c r="L24" s="18">
        <v>64954948.30103107</v>
      </c>
      <c r="M24" s="18">
        <v>-83093920</v>
      </c>
      <c r="N24" s="18">
        <v>3068434.387403453</v>
      </c>
      <c r="O24" s="18">
        <v>0</v>
      </c>
      <c r="P24" s="18">
        <v>0</v>
      </c>
      <c r="Q24" s="18">
        <v>0</v>
      </c>
      <c r="R24" s="18">
        <v>17755947.178181708</v>
      </c>
      <c r="S24" s="18">
        <v>-23232448</v>
      </c>
      <c r="T24" s="18">
        <v>29863787.534084797</v>
      </c>
      <c r="U24" s="18">
        <v>0</v>
      </c>
      <c r="V24" s="18">
        <v>29863787.534084797</v>
      </c>
      <c r="W24" s="18">
        <v>0</v>
      </c>
      <c r="X24" s="18">
        <v>0</v>
      </c>
      <c r="Y24" s="18">
        <v>-538591390.8446956</v>
      </c>
    </row>
    <row r="25" spans="1:25" x14ac:dyDescent="0.25">
      <c r="A25" s="24">
        <v>18</v>
      </c>
      <c r="B25" s="18">
        <v>6011214.23575119</v>
      </c>
      <c r="C25" s="18">
        <v>0</v>
      </c>
      <c r="D25" s="18">
        <v>0</v>
      </c>
      <c r="E25" s="18">
        <v>0</v>
      </c>
      <c r="F25" s="18">
        <v>43936490.15438461</v>
      </c>
      <c r="G25" s="18">
        <v>-48416800</v>
      </c>
      <c r="H25" s="18">
        <v>10265304.310282802</v>
      </c>
      <c r="I25" s="18">
        <v>0</v>
      </c>
      <c r="J25" s="18">
        <v>0</v>
      </c>
      <c r="K25" s="18">
        <v>0</v>
      </c>
      <c r="L25" s="18">
        <v>75680350.16177951</v>
      </c>
      <c r="M25" s="18">
        <v>-83093920</v>
      </c>
      <c r="N25" s="18">
        <v>2934705.6166334017</v>
      </c>
      <c r="O25" s="18">
        <v>0</v>
      </c>
      <c r="P25" s="18">
        <v>0</v>
      </c>
      <c r="Q25" s="18">
        <v>0</v>
      </c>
      <c r="R25" s="18">
        <v>20816424.087327227</v>
      </c>
      <c r="S25" s="18">
        <v>-23232448</v>
      </c>
      <c r="T25" s="18">
        <v>32239926.585485913</v>
      </c>
      <c r="U25" s="18">
        <v>0</v>
      </c>
      <c r="V25" s="18">
        <v>32239926.585485913</v>
      </c>
      <c r="W25" s="18">
        <v>0</v>
      </c>
      <c r="X25" s="18">
        <v>0</v>
      </c>
      <c r="Y25" s="18">
        <v>-570831317.4301815</v>
      </c>
    </row>
    <row r="26" spans="1:25" x14ac:dyDescent="0.25">
      <c r="A26" s="24">
        <v>19</v>
      </c>
      <c r="B26" s="18">
        <v>5615366.740792877</v>
      </c>
      <c r="C26" s="18">
        <v>0</v>
      </c>
      <c r="D26" s="18">
        <v>0</v>
      </c>
      <c r="E26" s="18">
        <v>0</v>
      </c>
      <c r="F26" s="18">
        <v>49863073.70043772</v>
      </c>
      <c r="G26" s="18">
        <v>-48416800</v>
      </c>
      <c r="H26" s="18">
        <v>9589318.588123221</v>
      </c>
      <c r="I26" s="18">
        <v>0</v>
      </c>
      <c r="J26" s="18">
        <v>0</v>
      </c>
      <c r="K26" s="18">
        <v>0</v>
      </c>
      <c r="L26" s="18">
        <v>85805737.896882</v>
      </c>
      <c r="M26" s="18">
        <v>-83093920</v>
      </c>
      <c r="N26" s="18">
        <v>2741450.8396075997</v>
      </c>
      <c r="O26" s="18">
        <v>0</v>
      </c>
      <c r="P26" s="18">
        <v>0</v>
      </c>
      <c r="Q26" s="18">
        <v>0</v>
      </c>
      <c r="R26" s="18">
        <v>23705324.597553395</v>
      </c>
      <c r="S26" s="18">
        <v>-23232448</v>
      </c>
      <c r="T26" s="18">
        <v>34481007.70573458</v>
      </c>
      <c r="U26" s="18">
        <v>0</v>
      </c>
      <c r="V26" s="18">
        <v>34481007.70573458</v>
      </c>
      <c r="W26" s="18">
        <v>0</v>
      </c>
      <c r="X26" s="18">
        <v>0</v>
      </c>
      <c r="Y26" s="18">
        <v>-605312325.1359161</v>
      </c>
    </row>
    <row r="27" spans="1:25" x14ac:dyDescent="0.25">
      <c r="A27" s="24">
        <v>20</v>
      </c>
      <c r="B27" s="18">
        <v>5114891.411734973</v>
      </c>
      <c r="C27" s="18">
        <v>0</v>
      </c>
      <c r="D27" s="18">
        <v>0</v>
      </c>
      <c r="E27" s="18">
        <v>0</v>
      </c>
      <c r="F27" s="18">
        <v>55331161.88421746</v>
      </c>
      <c r="G27" s="18">
        <v>-48416800</v>
      </c>
      <c r="H27" s="18">
        <v>8734660.718501262</v>
      </c>
      <c r="I27" s="18">
        <v>0</v>
      </c>
      <c r="J27" s="18">
        <v>0</v>
      </c>
      <c r="K27" s="18">
        <v>0</v>
      </c>
      <c r="L27" s="18">
        <v>95148189.25881952</v>
      </c>
      <c r="M27" s="18">
        <v>-83093920</v>
      </c>
      <c r="N27" s="18">
        <v>2497116.2174213817</v>
      </c>
      <c r="O27" s="18">
        <v>0</v>
      </c>
      <c r="P27" s="18">
        <v>0</v>
      </c>
      <c r="Q27" s="18">
        <v>0</v>
      </c>
      <c r="R27" s="18">
        <v>26370353.530874114</v>
      </c>
      <c r="S27" s="18">
        <v>-23232448</v>
      </c>
      <c r="T27" s="18">
        <v>36556724.117218</v>
      </c>
      <c r="U27" s="18">
        <v>0</v>
      </c>
      <c r="V27" s="18">
        <v>9749469.65481627</v>
      </c>
      <c r="W27" s="18">
        <v>0</v>
      </c>
      <c r="X27" s="18">
        <v>26807254.462401733</v>
      </c>
      <c r="Y27" s="18">
        <v>-615061794.7907324</v>
      </c>
    </row>
    <row r="28" spans="1:25" x14ac:dyDescent="0.25">
      <c r="A28" s="24">
        <v>21</v>
      </c>
      <c r="B28" s="18">
        <v>4531661.422004385</v>
      </c>
      <c r="C28" s="18">
        <v>0</v>
      </c>
      <c r="D28" s="18">
        <v>0</v>
      </c>
      <c r="E28" s="18">
        <v>0</v>
      </c>
      <c r="F28" s="18">
        <v>60254752.36956839</v>
      </c>
      <c r="G28" s="18">
        <v>-48416800</v>
      </c>
      <c r="H28" s="18">
        <v>7738683.351422873</v>
      </c>
      <c r="I28" s="18">
        <v>0</v>
      </c>
      <c r="J28" s="18">
        <v>0</v>
      </c>
      <c r="K28" s="18">
        <v>0</v>
      </c>
      <c r="L28" s="18">
        <v>103560838.9508257</v>
      </c>
      <c r="M28" s="18">
        <v>-83093920</v>
      </c>
      <c r="N28" s="18">
        <v>2212380.3455118844</v>
      </c>
      <c r="O28" s="18">
        <v>0</v>
      </c>
      <c r="P28" s="18">
        <v>0</v>
      </c>
      <c r="Q28" s="18">
        <v>0</v>
      </c>
      <c r="R28" s="18">
        <v>28769523.880563024</v>
      </c>
      <c r="S28" s="18">
        <v>-23232448</v>
      </c>
      <c r="T28" s="18">
        <v>38439005.31632891</v>
      </c>
      <c r="U28" s="18">
        <v>0</v>
      </c>
      <c r="V28" s="18">
        <v>0</v>
      </c>
      <c r="W28" s="18">
        <v>0</v>
      </c>
      <c r="X28" s="18">
        <v>65436144.497839324</v>
      </c>
      <c r="Y28" s="18">
        <v>-615061794.7907324</v>
      </c>
    </row>
    <row r="29" spans="1:25" x14ac:dyDescent="0.25">
      <c r="A29" s="24">
        <v>22</v>
      </c>
      <c r="B29" s="18">
        <v>3891166.720800331</v>
      </c>
      <c r="C29" s="18">
        <v>0</v>
      </c>
      <c r="D29" s="18">
        <v>0</v>
      </c>
      <c r="E29" s="18">
        <v>0</v>
      </c>
      <c r="F29" s="18">
        <v>64572723.586319834</v>
      </c>
      <c r="G29" s="18">
        <v>-48416800</v>
      </c>
      <c r="H29" s="18">
        <v>6644915.477059026</v>
      </c>
      <c r="I29" s="18">
        <v>0</v>
      </c>
      <c r="J29" s="18">
        <v>0</v>
      </c>
      <c r="K29" s="18">
        <v>0</v>
      </c>
      <c r="L29" s="18">
        <v>110939310.37045307</v>
      </c>
      <c r="M29" s="18">
        <v>-83093920</v>
      </c>
      <c r="N29" s="18">
        <v>1899687.5477958538</v>
      </c>
      <c r="O29" s="18">
        <v>0</v>
      </c>
      <c r="P29" s="18">
        <v>0</v>
      </c>
      <c r="Q29" s="18">
        <v>0</v>
      </c>
      <c r="R29" s="18">
        <v>30872995.5558462</v>
      </c>
      <c r="S29" s="18">
        <v>-23232448</v>
      </c>
      <c r="T29" s="18">
        <v>40102396.678872414</v>
      </c>
      <c r="U29" s="18">
        <v>0</v>
      </c>
      <c r="V29" s="18">
        <v>0</v>
      </c>
      <c r="W29" s="18">
        <v>0</v>
      </c>
      <c r="X29" s="18">
        <v>106002047.20023811</v>
      </c>
      <c r="Y29" s="18">
        <v>-615061794.7907324</v>
      </c>
    </row>
    <row r="30" spans="1:25" x14ac:dyDescent="0.25">
      <c r="A30" s="24">
        <v>23</v>
      </c>
      <c r="B30" s="18">
        <v>3221400.0000000005</v>
      </c>
      <c r="C30" s="18">
        <v>0</v>
      </c>
      <c r="D30" s="18">
        <v>0</v>
      </c>
      <c r="E30" s="18">
        <v>0</v>
      </c>
      <c r="F30" s="18">
        <v>68251513.71172294</v>
      </c>
      <c r="G30" s="18">
        <v>-48416800</v>
      </c>
      <c r="H30" s="18">
        <v>5501160.000000001</v>
      </c>
      <c r="I30" s="18">
        <v>0</v>
      </c>
      <c r="J30" s="18">
        <v>0</v>
      </c>
      <c r="K30" s="18">
        <v>0</v>
      </c>
      <c r="L30" s="18">
        <v>117226290.48557712</v>
      </c>
      <c r="M30" s="18">
        <v>-83093920</v>
      </c>
      <c r="N30" s="18">
        <v>1572704.0000000002</v>
      </c>
      <c r="O30" s="18">
        <v>0</v>
      </c>
      <c r="P30" s="18">
        <v>0</v>
      </c>
      <c r="Q30" s="18">
        <v>0</v>
      </c>
      <c r="R30" s="18">
        <v>32664383.274366777</v>
      </c>
      <c r="S30" s="18">
        <v>-23232448</v>
      </c>
      <c r="T30" s="18">
        <v>41524403.69019117</v>
      </c>
      <c r="U30" s="18">
        <v>0</v>
      </c>
      <c r="V30" s="18">
        <v>0</v>
      </c>
      <c r="W30" s="18">
        <v>0</v>
      </c>
      <c r="X30" s="18">
        <v>148277298.7247643</v>
      </c>
      <c r="Y30" s="18">
        <v>-615061794.7907324</v>
      </c>
    </row>
    <row r="31" spans="1:25" x14ac:dyDescent="0.25">
      <c r="A31" s="24">
        <v>24</v>
      </c>
      <c r="B31" s="18">
        <v>2551633.2791996696</v>
      </c>
      <c r="C31" s="18">
        <v>0</v>
      </c>
      <c r="D31" s="18">
        <v>0</v>
      </c>
      <c r="E31" s="18">
        <v>0</v>
      </c>
      <c r="F31" s="18">
        <v>71286595.21304733</v>
      </c>
      <c r="G31" s="18">
        <v>-48416800</v>
      </c>
      <c r="H31" s="18">
        <v>4357404.522940975</v>
      </c>
      <c r="I31" s="18">
        <v>0</v>
      </c>
      <c r="J31" s="18">
        <v>0</v>
      </c>
      <c r="K31" s="18">
        <v>0</v>
      </c>
      <c r="L31" s="18">
        <v>122414047.8994576</v>
      </c>
      <c r="M31" s="18">
        <v>-83093920</v>
      </c>
      <c r="N31" s="18">
        <v>1245720.4522041464</v>
      </c>
      <c r="O31" s="18">
        <v>0</v>
      </c>
      <c r="P31" s="18">
        <v>0</v>
      </c>
      <c r="Q31" s="18">
        <v>0</v>
      </c>
      <c r="R31" s="18">
        <v>34141476.44143102</v>
      </c>
      <c r="S31" s="18">
        <v>-23232448</v>
      </c>
      <c r="T31" s="18">
        <v>42685796.14488721</v>
      </c>
      <c r="U31" s="18">
        <v>0</v>
      </c>
      <c r="V31" s="18">
        <v>0</v>
      </c>
      <c r="W31" s="18">
        <v>0</v>
      </c>
      <c r="X31" s="18">
        <v>192013392.40228525</v>
      </c>
      <c r="Y31" s="18">
        <v>-615061794.7907324</v>
      </c>
    </row>
    <row r="32" spans="1:25" x14ac:dyDescent="0.25">
      <c r="A32" s="24">
        <v>25</v>
      </c>
      <c r="B32" s="18">
        <v>1911138.5779956186</v>
      </c>
      <c r="C32" s="18">
        <v>0</v>
      </c>
      <c r="D32" s="18">
        <v>0</v>
      </c>
      <c r="E32" s="18">
        <v>0</v>
      </c>
      <c r="F32" s="18">
        <v>73702680.50713536</v>
      </c>
      <c r="G32" s="18">
        <v>-48416800</v>
      </c>
      <c r="H32" s="18">
        <v>3263636.6485771337</v>
      </c>
      <c r="I32" s="18">
        <v>0</v>
      </c>
      <c r="J32" s="18">
        <v>0</v>
      </c>
      <c r="K32" s="18">
        <v>0</v>
      </c>
      <c r="L32" s="18">
        <v>126544784.05398923</v>
      </c>
      <c r="M32" s="18">
        <v>-83093920</v>
      </c>
      <c r="N32" s="18">
        <v>933027.6544881174</v>
      </c>
      <c r="O32" s="18">
        <v>0</v>
      </c>
      <c r="P32" s="18">
        <v>0</v>
      </c>
      <c r="Q32" s="18">
        <v>0</v>
      </c>
      <c r="R32" s="18">
        <v>35316339.554045945</v>
      </c>
      <c r="S32" s="18">
        <v>-23232448</v>
      </c>
      <c r="T32" s="18">
        <v>43570868.2023608</v>
      </c>
      <c r="U32" s="18">
        <v>0</v>
      </c>
      <c r="V32" s="18">
        <v>0</v>
      </c>
      <c r="W32" s="18">
        <v>0</v>
      </c>
      <c r="X32" s="18">
        <v>236944355.4674956</v>
      </c>
      <c r="Y32" s="18">
        <v>-615061794.7907324</v>
      </c>
    </row>
    <row r="33" spans="1:25" x14ac:dyDescent="0.25">
      <c r="A33" s="24">
        <v>26</v>
      </c>
      <c r="B33" s="18">
        <v>1327908.5882650276</v>
      </c>
      <c r="C33" s="18">
        <v>0</v>
      </c>
      <c r="D33" s="18">
        <v>0</v>
      </c>
      <c r="E33" s="18">
        <v>0</v>
      </c>
      <c r="F33" s="18">
        <v>75552649.7489926</v>
      </c>
      <c r="G33" s="18">
        <v>-48416800</v>
      </c>
      <c r="H33" s="18">
        <v>2267659.2814987395</v>
      </c>
      <c r="I33" s="18">
        <v>0</v>
      </c>
      <c r="J33" s="18">
        <v>0</v>
      </c>
      <c r="K33" s="18">
        <v>0</v>
      </c>
      <c r="L33" s="18">
        <v>129708802.22253707</v>
      </c>
      <c r="M33" s="18">
        <v>-83093920</v>
      </c>
      <c r="N33" s="18">
        <v>648291.7825786186</v>
      </c>
      <c r="O33" s="18">
        <v>0</v>
      </c>
      <c r="P33" s="18">
        <v>0</v>
      </c>
      <c r="Q33" s="18">
        <v>0</v>
      </c>
      <c r="R33" s="18">
        <v>36214788.74179906</v>
      </c>
      <c r="S33" s="18">
        <v>-23232448</v>
      </c>
      <c r="T33" s="18">
        <v>44167650.7813615</v>
      </c>
      <c r="U33" s="18">
        <v>0</v>
      </c>
      <c r="V33" s="18">
        <v>0</v>
      </c>
      <c r="W33" s="18">
        <v>0</v>
      </c>
      <c r="X33" s="18">
        <v>282790362.1000852</v>
      </c>
      <c r="Y33" s="18">
        <v>-615061794.7907324</v>
      </c>
    </row>
    <row r="34" spans="1:25" x14ac:dyDescent="0.25">
      <c r="A34" s="24">
        <v>27</v>
      </c>
      <c r="B34" s="18">
        <v>827433.259207122</v>
      </c>
      <c r="C34" s="18">
        <v>0</v>
      </c>
      <c r="D34" s="18">
        <v>0</v>
      </c>
      <c r="E34" s="18">
        <v>0</v>
      </c>
      <c r="F34" s="18">
        <v>76915247.61058843</v>
      </c>
      <c r="G34" s="18">
        <v>-48416800</v>
      </c>
      <c r="H34" s="18">
        <v>1413001.4118767777</v>
      </c>
      <c r="I34" s="18">
        <v>0</v>
      </c>
      <c r="J34" s="18">
        <v>0</v>
      </c>
      <c r="K34" s="18">
        <v>0</v>
      </c>
      <c r="L34" s="18">
        <v>132040574.3168235</v>
      </c>
      <c r="M34" s="18">
        <v>-83093920</v>
      </c>
      <c r="N34" s="18">
        <v>403957.1603924001</v>
      </c>
      <c r="O34" s="18">
        <v>0</v>
      </c>
      <c r="P34" s="18">
        <v>0</v>
      </c>
      <c r="Q34" s="18">
        <v>0</v>
      </c>
      <c r="R34" s="18">
        <v>36875267.32244587</v>
      </c>
      <c r="S34" s="18">
        <v>-23232448</v>
      </c>
      <c r="T34" s="18">
        <v>44468073.42127919</v>
      </c>
      <c r="U34" s="18">
        <v>0</v>
      </c>
      <c r="V34" s="18">
        <v>0</v>
      </c>
      <c r="W34" s="18">
        <v>0</v>
      </c>
      <c r="X34" s="18">
        <v>329261533.9195733</v>
      </c>
      <c r="Y34" s="18">
        <v>-615061794.7907324</v>
      </c>
    </row>
    <row r="35" spans="1:25" x14ac:dyDescent="0.25">
      <c r="A35" s="24">
        <v>28</v>
      </c>
      <c r="B35" s="18">
        <v>431585.76424880873</v>
      </c>
      <c r="C35" s="18">
        <v>0</v>
      </c>
      <c r="D35" s="18">
        <v>0</v>
      </c>
      <c r="E35" s="18">
        <v>0</v>
      </c>
      <c r="F35" s="18">
        <v>77891649.7120789</v>
      </c>
      <c r="G35" s="18">
        <v>-48416800</v>
      </c>
      <c r="H35" s="18">
        <v>737015.6897171964</v>
      </c>
      <c r="I35" s="18">
        <v>0</v>
      </c>
      <c r="J35" s="18">
        <v>0</v>
      </c>
      <c r="K35" s="18">
        <v>0</v>
      </c>
      <c r="L35" s="18">
        <v>133712877.40795153</v>
      </c>
      <c r="M35" s="18">
        <v>-83093920</v>
      </c>
      <c r="N35" s="18">
        <v>210702.3833665979</v>
      </c>
      <c r="O35" s="18">
        <v>0</v>
      </c>
      <c r="P35" s="18">
        <v>0</v>
      </c>
      <c r="Q35" s="18">
        <v>0</v>
      </c>
      <c r="R35" s="18">
        <v>37347169.51601313</v>
      </c>
      <c r="S35" s="18">
        <v>-23232448</v>
      </c>
      <c r="T35" s="18">
        <v>44468073.42127919</v>
      </c>
      <c r="U35" s="18">
        <v>0</v>
      </c>
      <c r="V35" s="18">
        <v>0</v>
      </c>
      <c r="W35" s="18">
        <v>0</v>
      </c>
      <c r="X35" s="18">
        <v>376061876.53944945</v>
      </c>
      <c r="Y35" s="18">
        <v>-615061794.7907324</v>
      </c>
    </row>
    <row r="36" spans="1:25" x14ac:dyDescent="0.25">
      <c r="A36" s="24">
        <v>29</v>
      </c>
      <c r="B36" s="18">
        <v>157666.53840679242</v>
      </c>
      <c r="C36" s="18">
        <v>0</v>
      </c>
      <c r="D36" s="18">
        <v>0</v>
      </c>
      <c r="E36" s="18">
        <v>0</v>
      </c>
      <c r="F36" s="18">
        <v>78601048.76927958</v>
      </c>
      <c r="G36" s="18">
        <v>-48416800</v>
      </c>
      <c r="H36" s="18">
        <v>269245.9348177532</v>
      </c>
      <c r="I36" s="18">
        <v>0</v>
      </c>
      <c r="J36" s="18">
        <v>0</v>
      </c>
      <c r="K36" s="18">
        <v>0</v>
      </c>
      <c r="L36" s="18">
        <v>134929256.22440895</v>
      </c>
      <c r="M36" s="18">
        <v>-83093920</v>
      </c>
      <c r="N36" s="18">
        <v>76973.61259654685</v>
      </c>
      <c r="O36" s="18">
        <v>0</v>
      </c>
      <c r="P36" s="18">
        <v>0</v>
      </c>
      <c r="Q36" s="18">
        <v>0</v>
      </c>
      <c r="R36" s="18">
        <v>37688685.57934811</v>
      </c>
      <c r="S36" s="18">
        <v>-23232448</v>
      </c>
      <c r="T36" s="18">
        <v>44167650.7813615</v>
      </c>
      <c r="U36" s="18">
        <v>0</v>
      </c>
      <c r="V36" s="18">
        <v>0</v>
      </c>
      <c r="W36" s="18">
        <v>0</v>
      </c>
      <c r="X36" s="18">
        <v>422893298.9462987</v>
      </c>
      <c r="Y36" s="18">
        <v>-615061794.7907324</v>
      </c>
    </row>
    <row r="37" spans="1:25" x14ac:dyDescent="0.25">
      <c r="A37" s="24">
        <v>30</v>
      </c>
      <c r="B37" s="18">
        <v>17647.166260644422</v>
      </c>
      <c r="C37" s="18">
        <v>162198640.3819497</v>
      </c>
      <c r="D37" s="18">
        <v>0</v>
      </c>
      <c r="E37" s="18">
        <v>83023187.01762706</v>
      </c>
      <c r="F37" s="18">
        <v>0</v>
      </c>
      <c r="G37" s="18">
        <v>34606387.01762706</v>
      </c>
      <c r="H37" s="18">
        <v>30135.930075869706</v>
      </c>
      <c r="I37" s="18">
        <v>223603609.05381748</v>
      </c>
      <c r="J37" s="18">
        <v>0</v>
      </c>
      <c r="K37" s="18">
        <v>87688468.0010764</v>
      </c>
      <c r="L37" s="18">
        <v>0</v>
      </c>
      <c r="M37" s="18">
        <v>4594548.0010764</v>
      </c>
      <c r="N37" s="18">
        <v>8615.437066735123</v>
      </c>
      <c r="O37" s="18">
        <v>73903756.49090794</v>
      </c>
      <c r="P37" s="18">
        <v>0</v>
      </c>
      <c r="Q37" s="18">
        <v>35939493.95163938</v>
      </c>
      <c r="R37" s="18">
        <v>0</v>
      </c>
      <c r="S37" s="18">
        <v>12707045.951639377</v>
      </c>
      <c r="T37" s="18">
        <v>43570868.20236081</v>
      </c>
      <c r="U37" s="18">
        <v>0</v>
      </c>
      <c r="V37" s="18">
        <v>0</v>
      </c>
      <c r="W37" s="18">
        <v>0</v>
      </c>
      <c r="X37" s="18">
        <v>469459661.34952915</v>
      </c>
      <c r="Y37" s="18">
        <v>-615061794.7907324</v>
      </c>
    </row>
    <row r="38" spans="1:25" x14ac:dyDescent="0.25">
      <c r="A38" s="24">
        <v>31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34606387.01762706</v>
      </c>
      <c r="H38" s="18">
        <v>0</v>
      </c>
      <c r="I38" s="18">
        <v>11768611.002832502</v>
      </c>
      <c r="J38" s="18">
        <v>0</v>
      </c>
      <c r="K38" s="18">
        <v>11768611.002832502</v>
      </c>
      <c r="L38" s="18">
        <v>0</v>
      </c>
      <c r="M38" s="18">
        <v>16363159.003908902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12707045.951639377</v>
      </c>
      <c r="T38" s="18">
        <v>42685796.14488721</v>
      </c>
      <c r="U38" s="18">
        <v>0</v>
      </c>
      <c r="V38" s="18">
        <v>0</v>
      </c>
      <c r="W38" s="18">
        <v>0</v>
      </c>
      <c r="X38" s="18">
        <v>515470796.76230884</v>
      </c>
      <c r="Y38" s="18">
        <v>-615061794.7907324</v>
      </c>
    </row>
    <row r="39" spans="1:25" x14ac:dyDescent="0.25">
      <c r="A39" s="24">
        <v>32</v>
      </c>
      <c r="B39" s="18"/>
      <c r="C39" s="18"/>
      <c r="D39" s="18"/>
      <c r="E39" s="18"/>
      <c r="F39" s="18"/>
      <c r="G39" s="18"/>
      <c r="H39" s="18">
        <v>0</v>
      </c>
      <c r="I39" s="18">
        <v>11768611.002832502</v>
      </c>
      <c r="J39" s="18">
        <v>0</v>
      </c>
      <c r="K39" s="18">
        <v>11768611.002832502</v>
      </c>
      <c r="L39" s="18">
        <v>0</v>
      </c>
      <c r="M39" s="18">
        <v>28131770.006741405</v>
      </c>
      <c r="N39" s="18"/>
      <c r="O39" s="18"/>
      <c r="P39" s="18"/>
      <c r="Q39" s="18"/>
      <c r="R39" s="18"/>
      <c r="S39" s="18"/>
      <c r="T39" s="18">
        <v>41524403.690191165</v>
      </c>
      <c r="U39" s="18">
        <v>0</v>
      </c>
      <c r="V39" s="18">
        <v>0</v>
      </c>
      <c r="W39" s="18">
        <v>0</v>
      </c>
      <c r="X39" s="18">
        <v>560646451.9295664</v>
      </c>
      <c r="Y39" s="18">
        <v>-615061794.7907324</v>
      </c>
    </row>
    <row r="40" spans="1:25" x14ac:dyDescent="0.25">
      <c r="A40" s="24">
        <v>33</v>
      </c>
      <c r="B40" s="18"/>
      <c r="C40" s="18"/>
      <c r="D40" s="18"/>
      <c r="E40" s="18"/>
      <c r="F40" s="18"/>
      <c r="G40" s="18"/>
      <c r="H40" s="18">
        <v>0</v>
      </c>
      <c r="I40" s="18">
        <v>11768611.002832502</v>
      </c>
      <c r="J40" s="18">
        <v>0</v>
      </c>
      <c r="K40" s="18">
        <v>11768611.002832502</v>
      </c>
      <c r="L40" s="18">
        <v>0</v>
      </c>
      <c r="M40" s="18">
        <v>39900381.00957391</v>
      </c>
      <c r="N40" s="18"/>
      <c r="O40" s="18"/>
      <c r="P40" s="18"/>
      <c r="Q40" s="18"/>
      <c r="R40" s="18"/>
      <c r="S40" s="18"/>
      <c r="T40" s="18">
        <v>40102396.678872414</v>
      </c>
      <c r="U40" s="18">
        <v>0</v>
      </c>
      <c r="V40" s="18">
        <v>0</v>
      </c>
      <c r="W40" s="18">
        <v>0</v>
      </c>
      <c r="X40" s="18">
        <v>604720094.3096067</v>
      </c>
      <c r="Y40" s="18">
        <v>-615061794.7907324</v>
      </c>
    </row>
    <row r="41" spans="1:25" x14ac:dyDescent="0.25">
      <c r="A41" s="24">
        <v>34</v>
      </c>
      <c r="B41" s="18"/>
      <c r="C41" s="18"/>
      <c r="D41" s="18"/>
      <c r="E41" s="18"/>
      <c r="F41" s="18"/>
      <c r="G41" s="18"/>
      <c r="H41" s="18">
        <v>0</v>
      </c>
      <c r="I41" s="18">
        <v>11768611.002832502</v>
      </c>
      <c r="J41" s="18">
        <v>0</v>
      </c>
      <c r="K41" s="18">
        <v>11768611.002832502</v>
      </c>
      <c r="L41" s="18">
        <v>0</v>
      </c>
      <c r="M41" s="18">
        <v>51668992.01240641</v>
      </c>
      <c r="N41" s="18"/>
      <c r="O41" s="18"/>
      <c r="P41" s="18"/>
      <c r="Q41" s="18"/>
      <c r="R41" s="18"/>
      <c r="S41" s="18"/>
      <c r="T41" s="18">
        <v>38439005.31632893</v>
      </c>
      <c r="U41" s="18">
        <v>0</v>
      </c>
      <c r="V41" s="18">
        <v>0</v>
      </c>
      <c r="W41" s="18">
        <v>0</v>
      </c>
      <c r="X41" s="18">
        <v>647442533.6272953</v>
      </c>
      <c r="Y41" s="18">
        <v>-615061794.7907324</v>
      </c>
    </row>
    <row r="42" spans="1:25" x14ac:dyDescent="0.25">
      <c r="A42" s="24">
        <v>35</v>
      </c>
      <c r="B42" s="18"/>
      <c r="C42" s="18"/>
      <c r="D42" s="18"/>
      <c r="E42" s="18"/>
      <c r="F42" s="18"/>
      <c r="G42" s="18"/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51668992.01240641</v>
      </c>
      <c r="N42" s="18"/>
      <c r="O42" s="18"/>
      <c r="P42" s="18"/>
      <c r="Q42" s="18"/>
      <c r="R42" s="18"/>
      <c r="S42" s="18"/>
      <c r="T42" s="18">
        <v>36556724.11721801</v>
      </c>
      <c r="U42" s="18">
        <v>0</v>
      </c>
      <c r="V42" s="18">
        <v>0</v>
      </c>
      <c r="W42" s="18">
        <v>0</v>
      </c>
      <c r="X42" s="18">
        <v>688585309.0243733</v>
      </c>
      <c r="Y42" s="18">
        <v>-615061794.7907324</v>
      </c>
    </row>
    <row r="43" spans="1:25" x14ac:dyDescent="0.25">
      <c r="A43" s="24">
        <v>36</v>
      </c>
      <c r="B43" s="18"/>
      <c r="C43" s="18"/>
      <c r="D43" s="18"/>
      <c r="E43" s="18"/>
      <c r="F43" s="18"/>
      <c r="G43" s="18"/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51668992.01240641</v>
      </c>
      <c r="N43" s="18"/>
      <c r="O43" s="18"/>
      <c r="P43" s="18"/>
      <c r="Q43" s="18"/>
      <c r="R43" s="18"/>
      <c r="S43" s="18"/>
      <c r="T43" s="18">
        <v>34481007.70573458</v>
      </c>
      <c r="U43" s="18">
        <v>0</v>
      </c>
      <c r="V43" s="18">
        <v>0</v>
      </c>
      <c r="W43" s="18">
        <v>0</v>
      </c>
      <c r="X43" s="18">
        <v>727943796.0023639</v>
      </c>
      <c r="Y43" s="18">
        <v>-615061794.7907324</v>
      </c>
    </row>
    <row r="44" spans="1:25" x14ac:dyDescent="0.25">
      <c r="A44" s="24">
        <v>37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>
        <v>32239926.585485913</v>
      </c>
      <c r="U44" s="18">
        <v>0</v>
      </c>
      <c r="V44" s="18">
        <v>0</v>
      </c>
      <c r="W44" s="18">
        <v>0</v>
      </c>
      <c r="X44" s="18">
        <v>765339991.1428666</v>
      </c>
      <c r="Y44" s="18">
        <v>-615061794.7907324</v>
      </c>
    </row>
    <row r="45" spans="1:25" x14ac:dyDescent="0.25">
      <c r="A45" s="24">
        <v>38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>
        <v>29863787.53408481</v>
      </c>
      <c r="U45" s="18">
        <v>0</v>
      </c>
      <c r="V45" s="18">
        <v>0</v>
      </c>
      <c r="W45" s="18">
        <v>0</v>
      </c>
      <c r="X45" s="18">
        <v>800624936.9475467</v>
      </c>
      <c r="Y45" s="18">
        <v>-615061794.7907324</v>
      </c>
    </row>
    <row r="46" spans="1:25" x14ac:dyDescent="0.25">
      <c r="A46" s="24">
        <v>39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>
        <v>27384723.755973205</v>
      </c>
      <c r="U46" s="18">
        <v>0</v>
      </c>
      <c r="V46" s="18">
        <v>0</v>
      </c>
      <c r="W46" s="18">
        <v>0</v>
      </c>
      <c r="X46" s="18">
        <v>833680754.0068984</v>
      </c>
      <c r="Y46" s="18">
        <v>-615061794.7907324</v>
      </c>
    </row>
    <row r="47" spans="1:25" x14ac:dyDescent="0.25">
      <c r="A47" s="24">
        <v>40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>
        <v>24836260.335956097</v>
      </c>
      <c r="U47" s="18">
        <v>0</v>
      </c>
      <c r="V47" s="18">
        <v>0</v>
      </c>
      <c r="W47" s="18">
        <v>0</v>
      </c>
      <c r="X47" s="18">
        <v>864422253.01707</v>
      </c>
      <c r="Y47" s="18">
        <v>-615061794.7907324</v>
      </c>
    </row>
    <row r="48" spans="1:25" x14ac:dyDescent="0.25">
      <c r="A48" s="24">
        <v>41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>
        <v>22252860.869941313</v>
      </c>
      <c r="U48" s="18">
        <v>0</v>
      </c>
      <c r="V48" s="18">
        <v>0</v>
      </c>
      <c r="W48" s="18">
        <v>0</v>
      </c>
      <c r="X48" s="18">
        <v>892798104.8458823</v>
      </c>
      <c r="Y48" s="18">
        <v>-615061794.7907324</v>
      </c>
    </row>
    <row r="49" spans="1:25" x14ac:dyDescent="0.25">
      <c r="A49" s="24">
        <v>42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>
        <v>19669461.40392651</v>
      </c>
      <c r="U49" s="18">
        <v>0</v>
      </c>
      <c r="V49" s="18">
        <v>0</v>
      </c>
      <c r="W49" s="18">
        <v>0</v>
      </c>
      <c r="X49" s="18">
        <v>918791552.8258004</v>
      </c>
      <c r="Y49" s="18">
        <v>-615061794.7907324</v>
      </c>
    </row>
    <row r="50" spans="1:25" x14ac:dyDescent="0.25">
      <c r="A50" s="24">
        <v>43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>
        <v>17120997.98390942</v>
      </c>
      <c r="U50" s="18">
        <v>0</v>
      </c>
      <c r="V50" s="18">
        <v>0</v>
      </c>
      <c r="W50" s="18">
        <v>0</v>
      </c>
      <c r="X50" s="18">
        <v>942420657.6422259</v>
      </c>
      <c r="Y50" s="18">
        <v>-615061794.7907324</v>
      </c>
    </row>
    <row r="51" spans="1:25" x14ac:dyDescent="0.25">
      <c r="A51" s="24">
        <v>44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>
        <v>14641934.205797827</v>
      </c>
      <c r="U51" s="18">
        <v>0</v>
      </c>
      <c r="V51" s="18">
        <v>0</v>
      </c>
      <c r="W51" s="18">
        <v>0</v>
      </c>
      <c r="X51" s="18">
        <v>963738071.5063227</v>
      </c>
      <c r="Y51" s="18">
        <v>-615061794.7907324</v>
      </c>
    </row>
    <row r="52" spans="1:25" x14ac:dyDescent="0.25">
      <c r="A52" s="24">
        <v>45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>
        <v>12265795.154396707</v>
      </c>
      <c r="U52" s="18">
        <v>0</v>
      </c>
      <c r="V52" s="18">
        <v>0</v>
      </c>
      <c r="W52" s="18">
        <v>0</v>
      </c>
      <c r="X52" s="18">
        <v>982830344.6672225</v>
      </c>
      <c r="Y52" s="18">
        <v>-615061794.7907324</v>
      </c>
    </row>
    <row r="53" spans="1:25" x14ac:dyDescent="0.25">
      <c r="A53" s="24">
        <v>46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>
        <v>10024714.034148041</v>
      </c>
      <c r="U53" s="18">
        <v>0</v>
      </c>
      <c r="V53" s="18">
        <v>0</v>
      </c>
      <c r="W53" s="18">
        <v>0</v>
      </c>
      <c r="X53" s="18">
        <v>999816773.6427634</v>
      </c>
      <c r="Y53" s="18">
        <v>-615061794.7907324</v>
      </c>
    </row>
    <row r="54" spans="1:25" x14ac:dyDescent="0.25">
      <c r="A54" s="24">
        <v>47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>
        <v>7948997.622664628</v>
      </c>
      <c r="U54" s="18">
        <v>0</v>
      </c>
      <c r="V54" s="18">
        <v>0</v>
      </c>
      <c r="W54" s="18">
        <v>0</v>
      </c>
      <c r="X54" s="18">
        <v>1014847806.7453976</v>
      </c>
      <c r="Y54" s="18">
        <v>-615061794.7907324</v>
      </c>
    </row>
    <row r="55" spans="1:25" x14ac:dyDescent="0.25">
      <c r="A55" s="24">
        <v>48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>
        <v>6066716.423553693</v>
      </c>
      <c r="U55" s="18">
        <v>0</v>
      </c>
      <c r="V55" s="18">
        <v>0</v>
      </c>
      <c r="W55" s="18">
        <v>0</v>
      </c>
      <c r="X55" s="18">
        <v>1028103028.4667312</v>
      </c>
      <c r="Y55" s="18">
        <v>-615061794.7907324</v>
      </c>
    </row>
    <row r="56" spans="1:25" x14ac:dyDescent="0.25">
      <c r="A56" s="24">
        <v>49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>
        <v>4403325.061010206</v>
      </c>
      <c r="U56" s="18">
        <v>0</v>
      </c>
      <c r="V56" s="18">
        <v>0</v>
      </c>
      <c r="W56" s="18">
        <v>0</v>
      </c>
      <c r="X56" s="18">
        <v>1039788749.9793807</v>
      </c>
      <c r="Y56" s="18">
        <v>-615061794.7907324</v>
      </c>
    </row>
    <row r="57" spans="1:25" x14ac:dyDescent="0.25">
      <c r="A57" s="24">
        <v>50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>
        <v>2981318.0496914485</v>
      </c>
      <c r="U57" s="18">
        <v>0</v>
      </c>
      <c r="V57" s="18">
        <v>0</v>
      </c>
      <c r="W57" s="18">
        <v>0</v>
      </c>
      <c r="X57" s="18">
        <v>1050135238.3414261</v>
      </c>
      <c r="Y57" s="18">
        <v>-615061794.7907324</v>
      </c>
    </row>
    <row r="58" spans="1:25" x14ac:dyDescent="0.25">
      <c r="A58" s="24">
        <v>51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>
        <v>1819925.5949954127</v>
      </c>
      <c r="U58" s="18">
        <v>0</v>
      </c>
      <c r="V58" s="18">
        <v>0</v>
      </c>
      <c r="W58" s="18">
        <v>0</v>
      </c>
      <c r="X58" s="18">
        <v>1059393621.8746732</v>
      </c>
      <c r="Y58" s="18">
        <v>-615061794.7907324</v>
      </c>
    </row>
    <row r="59" spans="1:25" x14ac:dyDescent="0.25">
      <c r="A59" s="24">
        <v>52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>
        <v>934853.5375218132</v>
      </c>
      <c r="U59" s="18">
        <v>0</v>
      </c>
      <c r="V59" s="18">
        <v>0</v>
      </c>
      <c r="W59" s="18">
        <v>0</v>
      </c>
      <c r="X59" s="18">
        <v>1067832513.5671407</v>
      </c>
      <c r="Y59" s="18">
        <v>-615061794.7907324</v>
      </c>
    </row>
    <row r="60" spans="1:25" x14ac:dyDescent="0.25">
      <c r="A60" s="24">
        <v>53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>
        <v>338070.95852111984</v>
      </c>
      <c r="U60" s="18">
        <v>0</v>
      </c>
      <c r="V60" s="18">
        <v>0</v>
      </c>
      <c r="W60" s="18">
        <v>0</v>
      </c>
      <c r="X60" s="18">
        <v>1075734398.163429</v>
      </c>
      <c r="Y60" s="18">
        <v>-615061794.7907324</v>
      </c>
    </row>
    <row r="61" spans="1:25" x14ac:dyDescent="0.25">
      <c r="A61" s="24">
        <v>54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>
        <v>37648.31860343027</v>
      </c>
      <c r="U61" s="18">
        <v>1881600885.0896769</v>
      </c>
      <c r="V61" s="18">
        <v>0</v>
      </c>
      <c r="W61" s="18">
        <v>798209053.2873201</v>
      </c>
      <c r="X61" s="18">
        <v>0</v>
      </c>
      <c r="Y61" s="18">
        <v>183147258.49658775</v>
      </c>
    </row>
    <row r="62" spans="1:25" x14ac:dyDescent="0.25">
      <c r="A62" s="24">
        <v>55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183147258.49658775</v>
      </c>
    </row>
    <row r="64" spans="1:1" x14ac:dyDescent="0.25">
      <c r="A64" s="14" t="s">
        <v>779</v>
      </c>
    </row>
  </sheetData>
  <mergeCells count="4">
    <mergeCell ref="B5:G5"/>
    <mergeCell ref="H5:M5"/>
    <mergeCell ref="N5:S5"/>
    <mergeCell ref="T5:Y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Assumptions</vt:lpstr>
      <vt:lpstr>Stacking plan</vt:lpstr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</dc:creator>
  <dc:title>The Meridian Tower — pro forma</dc:title>
  <dc:subject/>
  <dc:description/>
  <cp:keywords/>
  <cp:category/>
  <cp:lastModifiedBy>Unknown</cp:lastModifiedBy>
  <dcterms:created xsi:type="dcterms:W3CDTF">2026-10-23T08:14:42Z</dcterms:created>
  <dcterms:modified xsi:type="dcterms:W3CDTF">2026-10-23T08:14:43Z</dcterms:modified>
</cp:coreProperties>
</file>